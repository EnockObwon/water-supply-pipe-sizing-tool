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PIPE_DB" sheetId="3" state="visible" r:id="rId3"/>
    <sheet xmlns:r="http://schemas.openxmlformats.org/officeDocument/2006/relationships" name="TDH_CALC" sheetId="4" state="visible" r:id="rId4"/>
    <sheet xmlns:r="http://schemas.openxmlformats.org/officeDocument/2006/relationships" name="TRANSMISSION" sheetId="5" state="visible" r:id="rId5"/>
    <sheet xmlns:r="http://schemas.openxmlformats.org/officeDocument/2006/relationships" name="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1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color rgb="00003366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003366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color rgb="002E75B6"/>
      <sz val="10"/>
    </font>
    <font>
      <name val="Calibri"/>
      <b val="1"/>
      <color rgb="00FFFFFF"/>
      <sz val="13"/>
    </font>
    <font>
      <name val="Calibri"/>
      <color rgb="00000000"/>
      <sz val="9"/>
    </font>
    <font>
      <name val="Calibri"/>
      <i val="1"/>
      <color rgb="00595959"/>
      <sz val="9"/>
    </font>
    <font>
      <name val="Calibri"/>
      <i val="1"/>
      <color rgb="002E75B6"/>
      <sz val="10"/>
    </font>
    <font>
      <name val="Calibri"/>
      <b val="1"/>
      <color rgb="00FFFFFF"/>
      <sz val="16"/>
    </font>
    <font>
      <name val="Calibri"/>
      <b val="1"/>
      <color rgb="00000000"/>
      <sz val="12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b val="1"/>
      <color rgb="009C000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6DCE4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2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5" borderId="1" pivotButton="0" quotePrefix="0" xfId="0"/>
    <xf numFmtId="0" fontId="7" fillId="0" borderId="0" applyAlignment="1" pivotButton="0" quotePrefix="0" xfId="0">
      <alignment horizontal="left" vertical="center" indent="1"/>
    </xf>
    <xf numFmtId="0" fontId="4" fillId="0" borderId="1" pivotButton="0" quotePrefix="0" xfId="0"/>
    <xf numFmtId="0" fontId="10" fillId="0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12" fillId="0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1" fontId="14" fillId="9" borderId="1" applyAlignment="1" pivotButton="0" quotePrefix="0" xfId="0">
      <alignment horizontal="center" vertical="center"/>
    </xf>
    <xf numFmtId="49" fontId="14" fillId="9" borderId="1" applyAlignment="1" pivotButton="0" quotePrefix="0" xfId="0">
      <alignment horizontal="center" vertical="center"/>
    </xf>
    <xf numFmtId="2" fontId="14" fillId="9" borderId="1" applyAlignment="1" pivotButton="0" quotePrefix="0" xfId="0">
      <alignment horizontal="center" vertical="center"/>
    </xf>
    <xf numFmtId="165" fontId="14" fillId="9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center" vertical="center"/>
    </xf>
    <xf numFmtId="1" fontId="14" fillId="10" borderId="1" applyAlignment="1" pivotButton="0" quotePrefix="0" xfId="0">
      <alignment horizontal="center" vertical="center"/>
    </xf>
    <xf numFmtId="49" fontId="14" fillId="10" borderId="1" applyAlignment="1" pivotButton="0" quotePrefix="0" xfId="0">
      <alignment horizontal="center" vertical="center"/>
    </xf>
    <xf numFmtId="2" fontId="14" fillId="1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3" fontId="14" fillId="10" borderId="1" applyAlignment="1" pivotButton="0" quotePrefix="0" xfId="0">
      <alignment horizontal="center" vertical="center"/>
    </xf>
    <xf numFmtId="0" fontId="16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2" fontId="7" fillId="8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4" fillId="8" borderId="1" pivotButton="0" quotePrefix="0" xfId="0"/>
    <xf numFmtId="0" fontId="0" fillId="8" borderId="1" pivotButton="0" quotePrefix="0" xfId="0"/>
    <xf numFmtId="165" fontId="4" fillId="8" borderId="1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2" fontId="17" fillId="2" borderId="6" applyAlignment="1" pivotButton="0" quotePrefix="0" xfId="0">
      <alignment horizontal="center" vertical="center"/>
    </xf>
    <xf numFmtId="0" fontId="18" fillId="0" borderId="6" pivotButton="0" quotePrefix="0" xfId="0"/>
    <xf numFmtId="0" fontId="19" fillId="6" borderId="1" pivotButton="0" quotePrefix="0" xfId="0"/>
    <xf numFmtId="0" fontId="20" fillId="11" borderId="1" pivotButton="0" quotePrefix="0" xfId="0"/>
    <xf numFmtId="0" fontId="21" fillId="7" borderId="1" pivotButton="0" quotePrefix="0" xfId="0"/>
    <xf numFmtId="166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ARAMETERS!A1" TargetMode="External" Id="rId1"/><Relationship Type="http://schemas.openxmlformats.org/officeDocument/2006/relationships/hyperlink" Target="#PIPE_DB!A1" TargetMode="External" Id="rId2"/><Relationship Type="http://schemas.openxmlformats.org/officeDocument/2006/relationships/hyperlink" Target="#TDH_CALC!A1" TargetMode="External" Id="rId3"/><Relationship Type="http://schemas.openxmlformats.org/officeDocument/2006/relationships/hyperlink" Target="#TRANSMISSION!A1" TargetMode="External" Id="rId4"/><Relationship Type="http://schemas.openxmlformats.org/officeDocument/2006/relationships/hyperlink" Target="#DISTRIBUTION!A1" TargetMode="External" Id="rId5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1" t="inlineStr">
        <is>
          <t>WATER SUPPLY PIPE SIZING TOOL</t>
        </is>
      </c>
    </row>
    <row r="2" ht="22" customHeight="1">
      <c r="A2" s="2" t="inlineStr">
        <is>
          <t>Hazen-Williams  ·  HDPE PE100 DIN 8074 (Gentex)  ·  Uganda Water Supply Design Manual – 2nd Edition</t>
        </is>
      </c>
    </row>
    <row r="3" ht="10" customHeight="1"/>
    <row r="4" ht="18" customHeight="1">
      <c r="A4" s="3" t="inlineStr">
        <is>
          <t>PROJECT INFORMATION</t>
        </is>
      </c>
    </row>
    <row r="5" ht="18" customHeight="1">
      <c r="A5" s="4" t="inlineStr">
        <is>
          <t>Project Title</t>
        </is>
      </c>
      <c r="B5" s="5" t="n"/>
      <c r="C5" s="6" t="n"/>
      <c r="D5" s="6" t="n"/>
      <c r="E5" s="6" t="n"/>
      <c r="F5" s="6" t="n"/>
      <c r="G5" s="6" t="n"/>
      <c r="H5" s="6" t="n"/>
      <c r="I5" s="7" t="n"/>
    </row>
    <row r="6" ht="18" customHeight="1">
      <c r="A6" s="4" t="inlineStr">
        <is>
          <t>Project Location</t>
        </is>
      </c>
      <c r="B6" s="5" t="n"/>
      <c r="C6" s="6" t="n"/>
      <c r="D6" s="6" t="n"/>
      <c r="E6" s="6" t="n"/>
      <c r="F6" s="6" t="n"/>
      <c r="G6" s="6" t="n"/>
      <c r="H6" s="6" t="n"/>
      <c r="I6" s="7" t="n"/>
    </row>
    <row r="7" ht="18" customHeight="1">
      <c r="A7" s="4" t="inlineStr">
        <is>
          <t>Designed By</t>
        </is>
      </c>
      <c r="B7" s="5" t="n"/>
      <c r="C7" s="6" t="n"/>
      <c r="D7" s="6" t="n"/>
      <c r="E7" s="6" t="n"/>
      <c r="F7" s="6" t="n"/>
      <c r="G7" s="6" t="n"/>
      <c r="H7" s="6" t="n"/>
      <c r="I7" s="7" t="n"/>
    </row>
    <row r="8" ht="18" customHeight="1">
      <c r="A8" s="4" t="inlineStr">
        <is>
          <t>Checked By</t>
        </is>
      </c>
      <c r="B8" s="5" t="n"/>
      <c r="C8" s="6" t="n"/>
      <c r="D8" s="6" t="n"/>
      <c r="E8" s="6" t="n"/>
      <c r="F8" s="6" t="n"/>
      <c r="G8" s="6" t="n"/>
      <c r="H8" s="6" t="n"/>
      <c r="I8" s="7" t="n"/>
    </row>
    <row r="9" ht="18" customHeight="1">
      <c r="A9" s="4" t="inlineStr">
        <is>
          <t>Client / Owner</t>
        </is>
      </c>
      <c r="B9" s="5" t="n"/>
      <c r="C9" s="6" t="n"/>
      <c r="D9" s="6" t="n"/>
      <c r="E9" s="6" t="n"/>
      <c r="F9" s="6" t="n"/>
      <c r="G9" s="6" t="n"/>
      <c r="H9" s="6" t="n"/>
      <c r="I9" s="7" t="n"/>
    </row>
    <row r="10" ht="18" customHeight="1">
      <c r="A10" s="4" t="inlineStr">
        <is>
          <t>Contract No.</t>
        </is>
      </c>
      <c r="B10" s="5" t="n"/>
      <c r="C10" s="6" t="n"/>
      <c r="D10" s="6" t="n"/>
      <c r="E10" s="6" t="n"/>
      <c r="F10" s="6" t="n"/>
      <c r="G10" s="6" t="n"/>
      <c r="H10" s="6" t="n"/>
      <c r="I10" s="7" t="n"/>
    </row>
    <row r="11" ht="18" customHeight="1">
      <c r="A11" s="4" t="inlineStr">
        <is>
          <t>Date</t>
        </is>
      </c>
      <c r="B11" s="5" t="inlineStr">
        <is>
          <t>02-May-2026</t>
        </is>
      </c>
      <c r="C11" s="6" t="n"/>
      <c r="D11" s="6" t="n"/>
      <c r="E11" s="6" t="n"/>
      <c r="F11" s="6" t="n"/>
      <c r="G11" s="6" t="n"/>
      <c r="H11" s="6" t="n"/>
      <c r="I11" s="7" t="n"/>
    </row>
    <row r="12" ht="18" customHeight="1">
      <c r="A12" s="4" t="inlineStr">
        <is>
          <t>Revision</t>
        </is>
      </c>
      <c r="B12" s="5" t="inlineStr">
        <is>
          <t>Rev 0</t>
        </is>
      </c>
      <c r="C12" s="6" t="n"/>
      <c r="D12" s="6" t="n"/>
      <c r="E12" s="6" t="n"/>
      <c r="F12" s="6" t="n"/>
      <c r="G12" s="6" t="n"/>
      <c r="H12" s="6" t="n"/>
      <c r="I12" s="7" t="n"/>
    </row>
    <row r="13" ht="10" customHeight="1"/>
    <row r="14" ht="18" customHeight="1">
      <c r="A14" s="3" t="inlineStr">
        <is>
          <t>DESIGN SUMMARY  (auto-populated from calculation sheets)</t>
        </is>
      </c>
    </row>
    <row r="15" ht="22" customHeight="1">
      <c r="A15" s="8" t="inlineStr">
        <is>
          <t>Description</t>
        </is>
      </c>
      <c r="B15" s="8" t="inlineStr">
        <is>
          <t>Value</t>
        </is>
      </c>
      <c r="C15" s="8" t="inlineStr">
        <is>
          <t>Unit</t>
        </is>
      </c>
      <c r="D15" s="8" t="inlineStr">
        <is>
          <t>Source Sheet</t>
        </is>
      </c>
    </row>
    <row r="16" ht="18" customHeight="1">
      <c r="A16" s="9" t="inlineStr">
        <is>
          <t>Total Dynamic Head (TDH)</t>
        </is>
      </c>
      <c r="B16" s="10">
        <f>IFERROR(TDH_CALC!$E$43,"-")</f>
        <v/>
      </c>
      <c r="C16" s="11" t="inlineStr">
        <is>
          <t>m</t>
        </is>
      </c>
      <c r="D16" s="11" t="inlineStr">
        <is>
          <t>TDH_CALC</t>
        </is>
      </c>
    </row>
    <row r="17" ht="18" customHeight="1">
      <c r="A17" s="9" t="inlineStr">
        <is>
          <t>Design Flow Rate</t>
        </is>
      </c>
      <c r="B17" s="10">
        <f>IFERROR(TDH_CALC!$E$9,"-")</f>
        <v/>
      </c>
      <c r="C17" s="11" t="inlineStr">
        <is>
          <t>L/s</t>
        </is>
      </c>
      <c r="D17" s="11" t="inlineStr">
        <is>
          <t>TDH_CALC</t>
        </is>
      </c>
    </row>
    <row r="18" ht="18" customHeight="1">
      <c r="A18" s="9" t="inlineStr">
        <is>
          <t>Estimated Motor Power Required</t>
        </is>
      </c>
      <c r="B18" s="10">
        <f>IFERROR(TDH_CALC!$E$51,"-")</f>
        <v/>
      </c>
      <c r="C18" s="11" t="inlineStr">
        <is>
          <t>kW</t>
        </is>
      </c>
      <c r="D18" s="11" t="inlineStr">
        <is>
          <t>TDH_CALC</t>
        </is>
      </c>
    </row>
    <row r="19" ht="18" customHeight="1">
      <c r="A19" s="9" t="inlineStr">
        <is>
          <t>Transmission Main — Total Length</t>
        </is>
      </c>
      <c r="B19" s="10">
        <f>IFERROR(SUM(TRANSMISSION!$D$16:$D$30),"-")</f>
        <v/>
      </c>
      <c r="C19" s="11" t="inlineStr">
        <is>
          <t>m</t>
        </is>
      </c>
      <c r="D19" s="11" t="inlineStr">
        <is>
          <t>TRANSMISSION</t>
        </is>
      </c>
    </row>
    <row r="20" ht="18" customHeight="1">
      <c r="A20" s="9" t="inlineStr">
        <is>
          <t>Distribution Network — Total Length</t>
        </is>
      </c>
      <c r="B20" s="10">
        <f>IFERROR(SUM(DISTRIBUTION!$D$22:$D$41),"-")</f>
        <v/>
      </c>
      <c r="C20" s="11" t="inlineStr">
        <is>
          <t>m</t>
        </is>
      </c>
      <c r="D20" s="11" t="inlineStr">
        <is>
          <t>DISTRIBUTION</t>
        </is>
      </c>
    </row>
    <row r="21" ht="10" customHeight="1"/>
    <row r="22" ht="18" customHeight="1">
      <c r="A22" s="3" t="inlineStr">
        <is>
          <t>CELL COLOUR CODING</t>
        </is>
      </c>
    </row>
    <row r="23" ht="18" customHeight="1">
      <c r="A23" s="12" t="inlineStr">
        <is>
          <t>Input Cell  (yellow bg, dark-blue text)</t>
        </is>
      </c>
      <c r="B23" s="13" t="inlineStr">
        <is>
          <t>Enter data here</t>
        </is>
      </c>
    </row>
    <row r="24" ht="18" customHeight="1">
      <c r="A24" s="14" t="inlineStr">
        <is>
          <t>Formula / Calculated  (black text)</t>
        </is>
      </c>
      <c r="B24" s="13" t="inlineStr">
        <is>
          <t>Do not edit — auto-calculated</t>
        </is>
      </c>
    </row>
    <row r="25" ht="18" customHeight="1">
      <c r="A25" s="15" t="inlineStr">
        <is>
          <t>Cross-sheet Link  (green text)</t>
        </is>
      </c>
      <c r="B25" s="13" t="inlineStr">
        <is>
          <t>References another sheet</t>
        </is>
      </c>
    </row>
    <row r="26" ht="18" customHeight="1">
      <c r="A26" s="16" t="inlineStr">
        <is>
          <t>✓ OK — within design limits</t>
        </is>
      </c>
      <c r="B26" s="13" t="inlineStr">
        <is>
          <t>Velocity and pressure acceptable</t>
        </is>
      </c>
    </row>
    <row r="27" ht="18" customHeight="1">
      <c r="A27" s="17" t="inlineStr">
        <is>
          <t>⚠ Warning / Out of Range</t>
        </is>
      </c>
      <c r="B27" s="13" t="inlineStr">
        <is>
          <t>Action required — revise design</t>
        </is>
      </c>
    </row>
    <row r="28" ht="10" customHeight="1"/>
    <row r="29" ht="18" customHeight="1">
      <c r="A29" s="3" t="inlineStr">
        <is>
          <t>WORKSHEET GUIDE</t>
        </is>
      </c>
    </row>
    <row r="30" ht="20" customHeight="1">
      <c r="A30" s="8" t="inlineStr">
        <is>
          <t>Sheet</t>
        </is>
      </c>
      <c r="B30" s="8" t="inlineStr">
        <is>
          <t>Purpose</t>
        </is>
      </c>
      <c r="C30" s="8" t="inlineStr">
        <is>
          <t>Instructions</t>
        </is>
      </c>
    </row>
    <row r="31" ht="18" customHeight="1">
      <c r="A31" s="18" t="inlineStr">
        <is>
          <t>PARAMETERS</t>
        </is>
      </c>
      <c r="B31" s="11" t="inlineStr">
        <is>
          <t>Design constants — H-W C, velocities, pressure ratings, demand factors</t>
        </is>
      </c>
      <c r="C31" s="11" t="inlineStr">
        <is>
          <t>Review and adjust defaults before running calculations</t>
        </is>
      </c>
    </row>
    <row r="32" ht="18" customHeight="1">
      <c r="A32" s="18" t="inlineStr">
        <is>
          <t>PIPE_DB</t>
        </is>
      </c>
      <c r="B32" s="11" t="inlineStr">
        <is>
          <t>Full HDPE PE100 catalog (Gentex DIN 8074) — 74 entries OD 20–450 mm</t>
        </is>
      </c>
      <c r="C32" s="11" t="inlineStr">
        <is>
          <t>Do NOT modify — auto-referenced by all formulas</t>
        </is>
      </c>
    </row>
    <row r="33" ht="18" customHeight="1">
      <c r="A33" s="18" t="inlineStr">
        <is>
          <t>TDH_CALC</t>
        </is>
      </c>
      <c r="B33" s="11" t="inlineStr">
        <is>
          <t>Total Dynamic Head: production well → storage reservoir; pump sizing</t>
        </is>
      </c>
      <c r="C33" s="11" t="inlineStr">
        <is>
          <t>Step 1 — enter well &amp; reservoir survey data</t>
        </is>
      </c>
    </row>
    <row r="34" ht="18" customHeight="1">
      <c r="A34" s="18" t="inlineStr">
        <is>
          <t>TRANSMISSION</t>
        </is>
      </c>
      <c r="B34" s="11" t="inlineStr">
        <is>
          <t>Transmission main — auto OD &amp; PN selection, HGL profile, status checks</t>
        </is>
      </c>
      <c r="C34" s="11" t="inlineStr">
        <is>
          <t>Step 2 — enter segment lengths &amp; elevations</t>
        </is>
      </c>
    </row>
    <row r="35" ht="18" customHeight="1">
      <c r="A35" s="18" t="inlineStr">
        <is>
          <t>DISTRIBUTION</t>
        </is>
      </c>
      <c r="B35" s="11" t="inlineStr">
        <is>
          <t>Distribution network — demand calc, branch sizing, node pressure checks</t>
        </is>
      </c>
      <c r="C35" s="11" t="inlineStr">
        <is>
          <t>Step 3 — enter branch data; link HGL Start to junction nodes</t>
        </is>
      </c>
    </row>
  </sheetData>
  <mergeCells count="19">
    <mergeCell ref="B7:I7"/>
    <mergeCell ref="B24:N24"/>
    <mergeCell ref="A1:N1"/>
    <mergeCell ref="B12:I12"/>
    <mergeCell ref="B11:I11"/>
    <mergeCell ref="B26:N26"/>
    <mergeCell ref="B25:N25"/>
    <mergeCell ref="A4:I4"/>
    <mergeCell ref="B8:I8"/>
    <mergeCell ref="B27:N27"/>
    <mergeCell ref="A2:N2"/>
    <mergeCell ref="B10:I10"/>
    <mergeCell ref="A14:N14"/>
    <mergeCell ref="B9:I9"/>
    <mergeCell ref="A22:N22"/>
    <mergeCell ref="B23:N23"/>
    <mergeCell ref="B6:I6"/>
    <mergeCell ref="A29:N29"/>
    <mergeCell ref="B5:I5"/>
  </mergeCells>
  <hyperlinks>
    <hyperlink xmlns:r="http://schemas.openxmlformats.org/officeDocument/2006/relationships" ref="A31" r:id="rId1"/>
    <hyperlink xmlns:r="http://schemas.openxmlformats.org/officeDocument/2006/relationships" ref="A32" r:id="rId2"/>
    <hyperlink xmlns:r="http://schemas.openxmlformats.org/officeDocument/2006/relationships" ref="A33" r:id="rId3"/>
    <hyperlink xmlns:r="http://schemas.openxmlformats.org/officeDocument/2006/relationships" ref="A34" r:id="rId4"/>
    <hyperlink xmlns:r="http://schemas.openxmlformats.org/officeDocument/2006/relationships" ref="A3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2" customWidth="1" min="4" max="4"/>
    <col width="62" customWidth="1" min="5" max="5"/>
    <col width="8" customWidth="1" min="6" max="6"/>
  </cols>
  <sheetData>
    <row r="1" ht="28" customHeight="1">
      <c r="A1" s="19" t="inlineStr">
        <is>
          <t>DESIGN PARAMETERS</t>
        </is>
      </c>
    </row>
    <row r="2" ht="8" customHeight="1"/>
    <row r="3" ht="20" customHeight="1">
      <c r="A3" s="8" t="inlineStr">
        <is>
          <t>#</t>
        </is>
      </c>
      <c r="B3" s="8" t="inlineStr">
        <is>
          <t>Parameter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Reference / Notes</t>
        </is>
      </c>
    </row>
    <row r="4" ht="18" customHeight="1">
      <c r="A4" s="3" t="inlineStr">
        <is>
          <t>HYDRAULIC PARAMETERS</t>
        </is>
      </c>
    </row>
    <row r="5" ht="18" customHeight="1">
      <c r="A5" s="20" t="n">
        <v>1</v>
      </c>
      <c r="B5" s="9" t="inlineStr">
        <is>
          <t>Hazen-Williams Coefficient C  (HDPE PE100)</t>
        </is>
      </c>
      <c r="C5" s="21" t="n">
        <v>150</v>
      </c>
      <c r="D5" s="11" t="inlineStr">
        <is>
          <t>-</t>
        </is>
      </c>
      <c r="E5" s="22" t="inlineStr">
        <is>
          <t>DIN 8074; Uganda WSS DM Sect 4.3</t>
        </is>
      </c>
    </row>
    <row r="6" ht="18" customHeight="1">
      <c r="A6" s="20" t="n">
        <v>2</v>
      </c>
      <c r="B6" s="9" t="inlineStr">
        <is>
          <t>Min. Flow Velocity — Transmission Main</t>
        </is>
      </c>
      <c r="C6" s="23" t="n">
        <v>0.5</v>
      </c>
      <c r="D6" s="11" t="inlineStr">
        <is>
          <t>m/s</t>
        </is>
      </c>
      <c r="E6" s="22" t="inlineStr">
        <is>
          <t>Sedimentation prevention; Uganda WSS DM</t>
        </is>
      </c>
    </row>
    <row r="7" ht="18" customHeight="1">
      <c r="A7" s="20" t="n">
        <v>3</v>
      </c>
      <c r="B7" s="9" t="inlineStr">
        <is>
          <t>Max. Flow Velocity — Transmission Main</t>
        </is>
      </c>
      <c r="C7" s="23" t="n">
        <v>2.5</v>
      </c>
      <c r="D7" s="11" t="inlineStr">
        <is>
          <t>m/s</t>
        </is>
      </c>
      <c r="E7" s="22" t="inlineStr">
        <is>
          <t>Erosion / surge limit for HDPE</t>
        </is>
      </c>
    </row>
    <row r="8" ht="18" customHeight="1">
      <c r="A8" s="20" t="n">
        <v>4</v>
      </c>
      <c r="B8" s="9" t="inlineStr">
        <is>
          <t>Min. Flow Velocity — Distribution</t>
        </is>
      </c>
      <c r="C8" s="23" t="n">
        <v>0.3</v>
      </c>
      <c r="D8" s="11" t="inlineStr">
        <is>
          <t>m/s</t>
        </is>
      </c>
      <c r="E8" s="22" t="inlineStr">
        <is>
          <t>Sedimentation prevention; Uganda WSS DM</t>
        </is>
      </c>
    </row>
    <row r="9" ht="18" customHeight="1">
      <c r="A9" s="20" t="n">
        <v>5</v>
      </c>
      <c r="B9" s="9" t="inlineStr">
        <is>
          <t>Max. Flow Velocity — Distribution</t>
        </is>
      </c>
      <c r="C9" s="23" t="n">
        <v>1.5</v>
      </c>
      <c r="D9" s="11" t="inlineStr">
        <is>
          <t>m/s</t>
        </is>
      </c>
      <c r="E9" s="22" t="inlineStr">
        <is>
          <t>Erosion limit; Uganda WSS DM</t>
        </is>
      </c>
    </row>
    <row r="10" ht="18" customHeight="1">
      <c r="A10" s="20" t="n">
        <v>6</v>
      </c>
      <c r="B10" s="9" t="inlineStr">
        <is>
          <t>Minor Loss Factor k  (fraction of friction loss)</t>
        </is>
      </c>
      <c r="C10" s="23" t="n">
        <v>0.05</v>
      </c>
      <c r="D10" s="11" t="inlineStr">
        <is>
          <t>-</t>
        </is>
      </c>
      <c r="E10" s="22" t="inlineStr">
        <is>
          <t>Typical for well-aligned mains; adjust per design</t>
        </is>
      </c>
    </row>
    <row r="11" ht="8" customHeight="1"/>
    <row r="12" ht="18" customHeight="1">
      <c r="A12" s="3" t="inlineStr">
        <is>
          <t>PRESSURE RATINGS — HDPE PE100  DIN 8074  (PE100 compound)</t>
        </is>
      </c>
    </row>
    <row r="13" ht="18" customHeight="1">
      <c r="A13" s="20" t="n">
        <v>7</v>
      </c>
      <c r="B13" s="9" t="inlineStr">
        <is>
          <t>PN-6   Max. Working Head</t>
        </is>
      </c>
      <c r="C13" s="24" t="n">
        <v>61.2</v>
      </c>
      <c r="D13" s="11" t="inlineStr">
        <is>
          <t>m</t>
        </is>
      </c>
      <c r="E13" s="22" t="inlineStr">
        <is>
          <t>6 bar  → 61.2 m H₂O  (design limit = PN head ÷ SF)</t>
        </is>
      </c>
    </row>
    <row r="14" ht="18" customHeight="1">
      <c r="A14" s="20" t="n">
        <v>8</v>
      </c>
      <c r="B14" s="9" t="inlineStr">
        <is>
          <t>PN-10  Max. Working Head</t>
        </is>
      </c>
      <c r="C14" s="24" t="n">
        <v>102</v>
      </c>
      <c r="D14" s="11" t="inlineStr">
        <is>
          <t>m</t>
        </is>
      </c>
      <c r="E14" s="22" t="inlineStr">
        <is>
          <t>10 bar → 102.0 m H₂O</t>
        </is>
      </c>
    </row>
    <row r="15" ht="18" customHeight="1">
      <c r="A15" s="20" t="n">
        <v>9</v>
      </c>
      <c r="B15" s="9" t="inlineStr">
        <is>
          <t>PN-16  Max. Working Head</t>
        </is>
      </c>
      <c r="C15" s="24" t="n">
        <v>163.2</v>
      </c>
      <c r="D15" s="11" t="inlineStr">
        <is>
          <t>m</t>
        </is>
      </c>
      <c r="E15" s="22" t="inlineStr">
        <is>
          <t>16 bar → 163.2 m H₂O</t>
        </is>
      </c>
    </row>
    <row r="16" ht="18" customHeight="1">
      <c r="A16" s="20" t="n">
        <v>10</v>
      </c>
      <c r="B16" s="9" t="inlineStr">
        <is>
          <t>PN-20  Max. Working Head</t>
        </is>
      </c>
      <c r="C16" s="24" t="n">
        <v>204</v>
      </c>
      <c r="D16" s="11" t="inlineStr">
        <is>
          <t>m</t>
        </is>
      </c>
      <c r="E16" s="22" t="inlineStr">
        <is>
          <t>20 bar → 204.0 m H₂O</t>
        </is>
      </c>
    </row>
    <row r="17" ht="18" customHeight="1">
      <c r="A17" s="20" t="n">
        <v>11</v>
      </c>
      <c r="B17" s="9" t="inlineStr">
        <is>
          <t>Pressure Safety Factor</t>
        </is>
      </c>
      <c r="C17" s="23" t="n">
        <v>1.25</v>
      </c>
      <c r="D17" s="11" t="inlineStr">
        <is>
          <t>-</t>
        </is>
      </c>
      <c r="E17" s="22" t="inlineStr">
        <is>
          <t>Design working head = PN head ÷ SF</t>
        </is>
      </c>
    </row>
    <row r="18" ht="8" customHeight="1"/>
    <row r="19" ht="18" customHeight="1">
      <c r="A19" s="3" t="inlineStr">
        <is>
          <t>DESIGN STANDARDS — Uganda Water Supply Design Manual, 2nd Edition</t>
        </is>
      </c>
    </row>
    <row r="20" ht="18" customHeight="1">
      <c r="A20" s="20" t="n">
        <v>12</v>
      </c>
      <c r="B20" s="9" t="inlineStr">
        <is>
          <t>Min. Residual Pressure — Distribution Consumer</t>
        </is>
      </c>
      <c r="C20" s="23" t="n">
        <v>7</v>
      </c>
      <c r="D20" s="11" t="inlineStr">
        <is>
          <t>m</t>
        </is>
      </c>
      <c r="E20" s="22" t="inlineStr">
        <is>
          <t>Rural WSS; Uganda WSS DM Sect 5</t>
        </is>
      </c>
    </row>
    <row r="21" ht="18" customHeight="1">
      <c r="A21" s="20" t="n">
        <v>13</v>
      </c>
      <c r="B21" s="9" t="inlineStr">
        <is>
          <t>Min. Residual Pressure — Reservoir / Trans. End</t>
        </is>
      </c>
      <c r="C21" s="23" t="n">
        <v>2</v>
      </c>
      <c r="D21" s="11" t="inlineStr">
        <is>
          <t>m</t>
        </is>
      </c>
      <c r="E21" s="22" t="inlineStr">
        <is>
          <t>Above reservoir HWL at delivery point</t>
        </is>
      </c>
    </row>
    <row r="22" ht="18" customHeight="1">
      <c r="A22" s="20" t="n">
        <v>14</v>
      </c>
      <c r="B22" s="9" t="inlineStr">
        <is>
          <t>Allowable Head Loss Gradient — Transmission</t>
        </is>
      </c>
      <c r="C22" s="23" t="n">
        <v>5</v>
      </c>
      <c r="D22" s="11" t="inlineStr">
        <is>
          <t>m/km</t>
        </is>
      </c>
      <c r="E22" s="22" t="inlineStr">
        <is>
          <t>Economic gradient; Uganda WSS DM</t>
        </is>
      </c>
    </row>
    <row r="23" ht="18" customHeight="1">
      <c r="A23" s="20" t="n">
        <v>15</v>
      </c>
      <c r="B23" s="9" t="inlineStr">
        <is>
          <t>Allowable Head Loss Gradient — Distribution</t>
        </is>
      </c>
      <c r="C23" s="23" t="n">
        <v>8</v>
      </c>
      <c r="D23" s="11" t="inlineStr">
        <is>
          <t>m/km</t>
        </is>
      </c>
      <c r="E23" s="22" t="inlineStr">
        <is>
          <t>Economic gradient; Uganda WSS DM</t>
        </is>
      </c>
    </row>
    <row r="24" ht="18" customHeight="1">
      <c r="A24" s="20" t="n">
        <v>16</v>
      </c>
      <c r="B24" s="9" t="inlineStr">
        <is>
          <t>Pump Design Operating Hours per Day</t>
        </is>
      </c>
      <c r="C24" s="23" t="n">
        <v>8</v>
      </c>
      <c r="D24" s="11" t="inlineStr">
        <is>
          <t>hr/day</t>
        </is>
      </c>
      <c r="E24" s="22" t="inlineStr">
        <is>
          <t>Uganda WSS DM rural standard</t>
        </is>
      </c>
    </row>
    <row r="25" ht="8" customHeight="1"/>
    <row r="26" ht="18" customHeight="1">
      <c r="A26" s="3" t="inlineStr">
        <is>
          <t>DEMAND PARAMETERS</t>
        </is>
      </c>
    </row>
    <row r="27" ht="18" customHeight="1">
      <c r="A27" s="20" t="n">
        <v>17</v>
      </c>
      <c r="B27" s="9" t="inlineStr">
        <is>
          <t>Per Capita Demand</t>
        </is>
      </c>
      <c r="C27" s="23" t="n">
        <v>20</v>
      </c>
      <c r="D27" s="11" t="inlineStr">
        <is>
          <t>L/cap/day</t>
        </is>
      </c>
      <c r="E27" s="22" t="inlineStr">
        <is>
          <t>Uganda rural WSS standard; adjust to local survey</t>
        </is>
      </c>
    </row>
    <row r="28" ht="18" customHeight="1">
      <c r="A28" s="20" t="n">
        <v>18</v>
      </c>
      <c r="B28" s="9" t="inlineStr">
        <is>
          <t>Peak Hour Factor (PHF)</t>
        </is>
      </c>
      <c r="C28" s="23" t="n">
        <v>2</v>
      </c>
      <c r="D28" s="11" t="inlineStr">
        <is>
          <t>-</t>
        </is>
      </c>
      <c r="E28" s="22" t="inlineStr">
        <is>
          <t>Ratio of peak hour to average hourly demand</t>
        </is>
      </c>
    </row>
    <row r="29" ht="18" customHeight="1">
      <c r="A29" s="20" t="n">
        <v>19</v>
      </c>
      <c r="B29" s="9" t="inlineStr">
        <is>
          <t>Peak Day Factor  (PDF)</t>
        </is>
      </c>
      <c r="C29" s="23" t="n">
        <v>1.5</v>
      </c>
      <c r="D29" s="11" t="inlineStr">
        <is>
          <t>-</t>
        </is>
      </c>
      <c r="E29" s="22" t="inlineStr">
        <is>
          <t>Ratio of peak day to average daily demand</t>
        </is>
      </c>
    </row>
    <row r="30" ht="18" customHeight="1">
      <c r="A30" s="20" t="n">
        <v>20</v>
      </c>
      <c r="B30" s="9" t="inlineStr">
        <is>
          <t>NRW / Loss Factor</t>
        </is>
      </c>
      <c r="C30" s="23" t="n">
        <v>1.2</v>
      </c>
      <c r="D30" s="11" t="inlineStr">
        <is>
          <t>-</t>
        </is>
      </c>
      <c r="E30" s="22" t="inlineStr">
        <is>
          <t>20% non-revenue water allowance</t>
        </is>
      </c>
    </row>
    <row r="31" ht="18" customHeight="1">
      <c r="A31" s="20" t="n">
        <v>21</v>
      </c>
      <c r="B31" s="9" t="inlineStr">
        <is>
          <t>Population Growth Rate</t>
        </is>
      </c>
      <c r="C31" s="23" t="n">
        <v>0.03</v>
      </c>
      <c r="D31" s="11" t="inlineStr">
        <is>
          <t>/yr</t>
        </is>
      </c>
      <c r="E31" s="22" t="inlineStr">
        <is>
          <t>3% per year; verify against census data</t>
        </is>
      </c>
    </row>
    <row r="32" ht="18" customHeight="1">
      <c r="A32" s="20" t="n">
        <v>22</v>
      </c>
      <c r="B32" s="9" t="inlineStr">
        <is>
          <t>Design Period</t>
        </is>
      </c>
      <c r="C32" s="21" t="n">
        <v>20</v>
      </c>
      <c r="D32" s="11" t="inlineStr">
        <is>
          <t>years</t>
        </is>
      </c>
      <c r="E32" s="22" t="inlineStr">
        <is>
          <t>Standard for Uganda rural water supply projects</t>
        </is>
      </c>
    </row>
    <row r="33" ht="8" customHeight="1"/>
  </sheetData>
  <mergeCells count="5">
    <mergeCell ref="A19:F19"/>
    <mergeCell ref="A1:F1"/>
    <mergeCell ref="A12:F12"/>
    <mergeCell ref="A4:F4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I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8" customWidth="1" min="5" max="5"/>
    <col width="20" customWidth="1" min="6" max="6"/>
    <col width="14" customWidth="1" min="7" max="7"/>
    <col width="16" customWidth="1" min="8" max="8"/>
    <col width="18" customWidth="1" min="9" max="9"/>
  </cols>
  <sheetData>
    <row r="1" ht="28" customHeight="1">
      <c r="A1" s="19" t="inlineStr">
        <is>
          <t>HDPE PE100 PIPE CATALOG — DIN 8074  |  Gentex</t>
        </is>
      </c>
    </row>
    <row r="2" ht="16" customHeight="1">
      <c r="A2" s="25" t="inlineStr">
        <is>
          <t>Source: Gentex HDPE Pipes – PE 100 – DIN 8074 Price List (effective July 6, 2018)  |  OD 20–90mm: 100m rolls  |  OD 110mm: 50m rolls  |  OD ≥125mm: 6m or 12m lengths</t>
        </is>
      </c>
    </row>
    <row r="3" ht="30" customHeight="1">
      <c r="A3" s="8" t="inlineStr">
        <is>
          <t>Item Code</t>
        </is>
      </c>
      <c r="B3" s="8" t="inlineStr">
        <is>
          <t>OD (mm)</t>
        </is>
      </c>
      <c r="C3" s="8" t="inlineStr">
        <is>
          <t>PN Rating</t>
        </is>
      </c>
      <c r="D3" s="8" t="inlineStr">
        <is>
          <t>PN (Numeric)</t>
        </is>
      </c>
      <c r="E3" s="8" t="inlineStr">
        <is>
          <t>Internal Dia. ID (mm)</t>
        </is>
      </c>
      <c r="F3" s="8" t="inlineStr">
        <is>
          <t>Wall Thickness (mm)</t>
        </is>
      </c>
      <c r="G3" s="8" t="inlineStr">
        <is>
          <t>Weight (kg/m)</t>
        </is>
      </c>
      <c r="H3" s="8" t="inlineStr">
        <is>
          <t>Price (UGX/m)</t>
        </is>
      </c>
      <c r="I3" s="8" t="inlineStr">
        <is>
          <t>Supply Form</t>
        </is>
      </c>
    </row>
    <row r="4" ht="15" customHeight="1">
      <c r="A4" s="26" t="n">
        <v>5001</v>
      </c>
      <c r="B4" s="26" t="n">
        <v>20</v>
      </c>
      <c r="C4" s="27" t="inlineStr">
        <is>
          <t>PN - 6</t>
        </is>
      </c>
      <c r="D4" s="26" t="n">
        <v>6</v>
      </c>
      <c r="E4" s="28" t="n">
        <v>16.4</v>
      </c>
      <c r="F4" s="28" t="n">
        <v>1.8</v>
      </c>
      <c r="G4" s="29" t="n">
        <v>0.1</v>
      </c>
      <c r="H4" s="30" t="n">
        <v>1400</v>
      </c>
      <c r="I4" s="27" t="inlineStr">
        <is>
          <t>100m roll</t>
        </is>
      </c>
    </row>
    <row r="5" ht="15" customHeight="1">
      <c r="A5" s="31" t="n">
        <v>5002</v>
      </c>
      <c r="B5" s="31" t="n">
        <v>20</v>
      </c>
      <c r="C5" s="32" t="inlineStr">
        <is>
          <t>PN - 10</t>
        </is>
      </c>
      <c r="D5" s="31" t="n">
        <v>10</v>
      </c>
      <c r="E5" s="33" t="n">
        <v>16.2</v>
      </c>
      <c r="F5" s="33" t="n">
        <v>1.9</v>
      </c>
      <c r="G5" s="34" t="n">
        <v>0.11</v>
      </c>
      <c r="H5" s="35" t="n">
        <v>1500</v>
      </c>
      <c r="I5" s="32" t="inlineStr">
        <is>
          <t>100m roll</t>
        </is>
      </c>
    </row>
    <row r="6" ht="15" customHeight="1">
      <c r="A6" s="26" t="n">
        <v>5003</v>
      </c>
      <c r="B6" s="26" t="n">
        <v>20</v>
      </c>
      <c r="C6" s="27" t="inlineStr">
        <is>
          <t>PN - 16</t>
        </is>
      </c>
      <c r="D6" s="26" t="n">
        <v>16</v>
      </c>
      <c r="E6" s="28" t="n">
        <v>16.2</v>
      </c>
      <c r="F6" s="28" t="n">
        <v>1.9</v>
      </c>
      <c r="G6" s="29" t="n">
        <v>0.116</v>
      </c>
      <c r="H6" s="30" t="n">
        <v>1700</v>
      </c>
      <c r="I6" s="27" t="inlineStr">
        <is>
          <t>100m roll</t>
        </is>
      </c>
    </row>
    <row r="7" ht="15" customHeight="1">
      <c r="A7" s="31" t="n">
        <v>5011</v>
      </c>
      <c r="B7" s="31" t="n">
        <v>25</v>
      </c>
      <c r="C7" s="32" t="inlineStr">
        <is>
          <t>PN - 6</t>
        </is>
      </c>
      <c r="D7" s="31" t="n">
        <v>6</v>
      </c>
      <c r="E7" s="33" t="n">
        <v>21.4</v>
      </c>
      <c r="F7" s="33" t="n">
        <v>1.8</v>
      </c>
      <c r="G7" s="34" t="n">
        <v>0.127</v>
      </c>
      <c r="H7" s="35" t="n">
        <v>1800</v>
      </c>
      <c r="I7" s="32" t="inlineStr">
        <is>
          <t>100m roll</t>
        </is>
      </c>
    </row>
    <row r="8" ht="15" customHeight="1">
      <c r="A8" s="26" t="n">
        <v>5012</v>
      </c>
      <c r="B8" s="26" t="n">
        <v>25</v>
      </c>
      <c r="C8" s="27" t="inlineStr">
        <is>
          <t>PN - 10</t>
        </is>
      </c>
      <c r="D8" s="26" t="n">
        <v>10</v>
      </c>
      <c r="E8" s="28" t="n">
        <v>20.4</v>
      </c>
      <c r="F8" s="28" t="n">
        <v>2.3</v>
      </c>
      <c r="G8" s="29" t="n">
        <v>0.165</v>
      </c>
      <c r="H8" s="30" t="n">
        <v>2400</v>
      </c>
      <c r="I8" s="27" t="inlineStr">
        <is>
          <t>100m roll</t>
        </is>
      </c>
    </row>
    <row r="9" ht="15" customHeight="1">
      <c r="A9" s="31" t="n">
        <v>5013</v>
      </c>
      <c r="B9" s="31" t="n">
        <v>25</v>
      </c>
      <c r="C9" s="32" t="inlineStr">
        <is>
          <t>PN - 16</t>
        </is>
      </c>
      <c r="D9" s="31" t="n">
        <v>16</v>
      </c>
      <c r="E9" s="33" t="n">
        <v>20.4</v>
      </c>
      <c r="F9" s="33" t="n">
        <v>2.3</v>
      </c>
      <c r="G9" s="34" t="n">
        <v>0.186</v>
      </c>
      <c r="H9" s="35" t="n">
        <v>2700</v>
      </c>
      <c r="I9" s="32" t="inlineStr">
        <is>
          <t>100m roll</t>
        </is>
      </c>
    </row>
    <row r="10" ht="15" customHeight="1">
      <c r="A10" s="26" t="n">
        <v>5022</v>
      </c>
      <c r="B10" s="26" t="n">
        <v>32</v>
      </c>
      <c r="C10" s="27" t="inlineStr">
        <is>
          <t>PN - 6</t>
        </is>
      </c>
      <c r="D10" s="26" t="n">
        <v>6</v>
      </c>
      <c r="E10" s="28" t="n">
        <v>28.2</v>
      </c>
      <c r="F10" s="28" t="n">
        <v>1.9</v>
      </c>
      <c r="G10" s="29" t="n">
        <v>0.18</v>
      </c>
      <c r="H10" s="30" t="n">
        <v>2600</v>
      </c>
      <c r="I10" s="27" t="inlineStr">
        <is>
          <t>100m roll</t>
        </is>
      </c>
    </row>
    <row r="11" ht="15" customHeight="1">
      <c r="A11" s="31" t="n">
        <v>5023</v>
      </c>
      <c r="B11" s="31" t="n">
        <v>32</v>
      </c>
      <c r="C11" s="32" t="inlineStr">
        <is>
          <t>PN - 10</t>
        </is>
      </c>
      <c r="D11" s="31" t="n">
        <v>10</v>
      </c>
      <c r="E11" s="33" t="n">
        <v>26.6</v>
      </c>
      <c r="F11" s="33" t="n">
        <v>2.7</v>
      </c>
      <c r="G11" s="34" t="n">
        <v>0.255</v>
      </c>
      <c r="H11" s="35" t="n">
        <v>3600</v>
      </c>
      <c r="I11" s="32" t="inlineStr">
        <is>
          <t>100m roll</t>
        </is>
      </c>
    </row>
    <row r="12" ht="15" customHeight="1">
      <c r="A12" s="26" t="n">
        <v>5024</v>
      </c>
      <c r="B12" s="26" t="n">
        <v>32</v>
      </c>
      <c r="C12" s="27" t="inlineStr">
        <is>
          <t>PN - 16</t>
        </is>
      </c>
      <c r="D12" s="26" t="n">
        <v>16</v>
      </c>
      <c r="E12" s="28" t="n">
        <v>26.2</v>
      </c>
      <c r="F12" s="28" t="n">
        <v>2.9</v>
      </c>
      <c r="G12" s="29" t="n">
        <v>0.286</v>
      </c>
      <c r="H12" s="30" t="n">
        <v>4000</v>
      </c>
      <c r="I12" s="27" t="inlineStr">
        <is>
          <t>100m roll</t>
        </is>
      </c>
    </row>
    <row r="13" ht="15" customHeight="1">
      <c r="A13" s="31" t="n">
        <v>5032</v>
      </c>
      <c r="B13" s="31" t="n">
        <v>40</v>
      </c>
      <c r="C13" s="32" t="inlineStr">
        <is>
          <t>PN - 6</t>
        </is>
      </c>
      <c r="D13" s="31" t="n">
        <v>6</v>
      </c>
      <c r="E13" s="33" t="n">
        <v>35.4</v>
      </c>
      <c r="F13" s="33" t="n">
        <v>2.3</v>
      </c>
      <c r="G13" s="34" t="n">
        <v>0.26</v>
      </c>
      <c r="H13" s="35" t="n">
        <v>3800</v>
      </c>
      <c r="I13" s="32" t="inlineStr">
        <is>
          <t>100m roll</t>
        </is>
      </c>
    </row>
    <row r="14" ht="15" customHeight="1">
      <c r="A14" s="26" t="n">
        <v>5033</v>
      </c>
      <c r="B14" s="26" t="n">
        <v>40</v>
      </c>
      <c r="C14" s="27" t="inlineStr">
        <is>
          <t>PN - 10</t>
        </is>
      </c>
      <c r="D14" s="26" t="n">
        <v>10</v>
      </c>
      <c r="E14" s="28" t="n">
        <v>34.6</v>
      </c>
      <c r="F14" s="28" t="n">
        <v>2.7</v>
      </c>
      <c r="G14" s="29" t="n">
        <v>0.336</v>
      </c>
      <c r="H14" s="30" t="n">
        <v>4900</v>
      </c>
      <c r="I14" s="27" t="inlineStr">
        <is>
          <t>100m roll</t>
        </is>
      </c>
    </row>
    <row r="15" ht="15" customHeight="1">
      <c r="A15" s="31" t="n">
        <v>5034</v>
      </c>
      <c r="B15" s="31" t="n">
        <v>40</v>
      </c>
      <c r="C15" s="32" t="inlineStr">
        <is>
          <t>PN - 16</t>
        </is>
      </c>
      <c r="D15" s="31" t="n">
        <v>16</v>
      </c>
      <c r="E15" s="33" t="n">
        <v>32.6</v>
      </c>
      <c r="F15" s="33" t="n">
        <v>3.7</v>
      </c>
      <c r="G15" s="34" t="n">
        <v>0.44</v>
      </c>
      <c r="H15" s="35" t="n">
        <v>6300</v>
      </c>
      <c r="I15" s="32" t="inlineStr">
        <is>
          <t>100m roll</t>
        </is>
      </c>
    </row>
    <row r="16" ht="15" customHeight="1">
      <c r="A16" s="26" t="n">
        <v>5042</v>
      </c>
      <c r="B16" s="26" t="n">
        <v>50</v>
      </c>
      <c r="C16" s="27" t="inlineStr">
        <is>
          <t>PN - 6</t>
        </is>
      </c>
      <c r="D16" s="26" t="n">
        <v>6</v>
      </c>
      <c r="E16" s="28" t="n">
        <v>44.2</v>
      </c>
      <c r="F16" s="28" t="n">
        <v>2.9</v>
      </c>
      <c r="G16" s="29" t="n">
        <v>0.43</v>
      </c>
      <c r="H16" s="30" t="n">
        <v>6100</v>
      </c>
      <c r="I16" s="27" t="inlineStr">
        <is>
          <t>100m roll</t>
        </is>
      </c>
    </row>
    <row r="17" ht="15" customHeight="1">
      <c r="A17" s="31" t="n">
        <v>5043</v>
      </c>
      <c r="B17" s="31" t="n">
        <v>50</v>
      </c>
      <c r="C17" s="32" t="inlineStr">
        <is>
          <t>PN - 10</t>
        </is>
      </c>
      <c r="D17" s="31" t="n">
        <v>10</v>
      </c>
      <c r="E17" s="33" t="n">
        <v>43.4</v>
      </c>
      <c r="F17" s="33" t="n">
        <v>3.3</v>
      </c>
      <c r="G17" s="34" t="n">
        <v>0.495</v>
      </c>
      <c r="H17" s="35" t="n">
        <v>7100</v>
      </c>
      <c r="I17" s="32" t="inlineStr">
        <is>
          <t>100m roll</t>
        </is>
      </c>
    </row>
    <row r="18" ht="15" customHeight="1">
      <c r="A18" s="26" t="n">
        <v>5044</v>
      </c>
      <c r="B18" s="26" t="n">
        <v>50</v>
      </c>
      <c r="C18" s="27" t="inlineStr">
        <is>
          <t>PN - 16</t>
        </is>
      </c>
      <c r="D18" s="26" t="n">
        <v>16</v>
      </c>
      <c r="E18" s="28" t="n">
        <v>40.8</v>
      </c>
      <c r="F18" s="28" t="n">
        <v>4.6</v>
      </c>
      <c r="G18" s="29" t="n">
        <v>0.6899999999999999</v>
      </c>
      <c r="H18" s="30" t="n">
        <v>9600</v>
      </c>
      <c r="I18" s="27" t="inlineStr">
        <is>
          <t>100m roll</t>
        </is>
      </c>
    </row>
    <row r="19" ht="15" customHeight="1">
      <c r="A19" s="31" t="n">
        <v>5052</v>
      </c>
      <c r="B19" s="31" t="n">
        <v>63</v>
      </c>
      <c r="C19" s="32" t="inlineStr">
        <is>
          <t>PN - 6</t>
        </is>
      </c>
      <c r="D19" s="31" t="n">
        <v>6</v>
      </c>
      <c r="E19" s="33" t="n">
        <v>55.8</v>
      </c>
      <c r="F19" s="33" t="n">
        <v>3.6</v>
      </c>
      <c r="G19" s="34" t="n">
        <v>0.65</v>
      </c>
      <c r="H19" s="35" t="n">
        <v>9200</v>
      </c>
      <c r="I19" s="32" t="inlineStr">
        <is>
          <t>100m roll</t>
        </is>
      </c>
    </row>
    <row r="20" ht="15" customHeight="1">
      <c r="A20" s="26" t="n">
        <v>5053</v>
      </c>
      <c r="B20" s="26" t="n">
        <v>63</v>
      </c>
      <c r="C20" s="27" t="inlineStr">
        <is>
          <t>PN - 10</t>
        </is>
      </c>
      <c r="D20" s="26" t="n">
        <v>10</v>
      </c>
      <c r="E20" s="28" t="n">
        <v>54.64</v>
      </c>
      <c r="F20" s="28" t="n">
        <v>4.18</v>
      </c>
      <c r="G20" s="29" t="n">
        <v>0.8100000000000001</v>
      </c>
      <c r="H20" s="30" t="n">
        <v>10700</v>
      </c>
      <c r="I20" s="27" t="inlineStr">
        <is>
          <t>100m roll</t>
        </is>
      </c>
    </row>
    <row r="21" ht="15" customHeight="1">
      <c r="A21" s="31" t="n">
        <v>5054</v>
      </c>
      <c r="B21" s="31" t="n">
        <v>63</v>
      </c>
      <c r="C21" s="32" t="inlineStr">
        <is>
          <t>PN - 16</t>
        </is>
      </c>
      <c r="D21" s="31" t="n">
        <v>16</v>
      </c>
      <c r="E21" s="33" t="n">
        <v>51.4</v>
      </c>
      <c r="F21" s="33" t="n">
        <v>5.8</v>
      </c>
      <c r="G21" s="34" t="n">
        <v>1.07</v>
      </c>
      <c r="H21" s="35" t="n">
        <v>13400</v>
      </c>
      <c r="I21" s="32" t="inlineStr">
        <is>
          <t>100m roll</t>
        </is>
      </c>
    </row>
    <row r="22" ht="15" customHeight="1">
      <c r="A22" s="26" t="n">
        <v>5062</v>
      </c>
      <c r="B22" s="26" t="n">
        <v>75</v>
      </c>
      <c r="C22" s="27" t="inlineStr">
        <is>
          <t>PN - 6</t>
        </is>
      </c>
      <c r="D22" s="26" t="n">
        <v>6</v>
      </c>
      <c r="E22" s="28" t="n">
        <v>66.40000000000001</v>
      </c>
      <c r="F22" s="28" t="n">
        <v>4.3</v>
      </c>
      <c r="G22" s="29" t="n">
        <v>0.95</v>
      </c>
      <c r="H22" s="30" t="n">
        <v>12600</v>
      </c>
      <c r="I22" s="27" t="inlineStr">
        <is>
          <t>100m roll</t>
        </is>
      </c>
    </row>
    <row r="23" ht="15" customHeight="1">
      <c r="A23" s="31" t="n">
        <v>5063</v>
      </c>
      <c r="B23" s="31" t="n">
        <v>75</v>
      </c>
      <c r="C23" s="32" t="inlineStr">
        <is>
          <t>PN - 10</t>
        </is>
      </c>
      <c r="D23" s="31" t="n">
        <v>10</v>
      </c>
      <c r="E23" s="33" t="n">
        <v>66</v>
      </c>
      <c r="F23" s="33" t="n">
        <v>4.5</v>
      </c>
      <c r="G23" s="34" t="n">
        <v>1.05</v>
      </c>
      <c r="H23" s="35" t="n">
        <v>13400</v>
      </c>
      <c r="I23" s="32" t="inlineStr">
        <is>
          <t>100m roll</t>
        </is>
      </c>
    </row>
    <row r="24" ht="15" customHeight="1">
      <c r="A24" s="26" t="n">
        <v>5064</v>
      </c>
      <c r="B24" s="26" t="n">
        <v>75</v>
      </c>
      <c r="C24" s="27" t="inlineStr">
        <is>
          <t>PN - 16</t>
        </is>
      </c>
      <c r="D24" s="26" t="n">
        <v>16</v>
      </c>
      <c r="E24" s="28" t="n">
        <v>61.4</v>
      </c>
      <c r="F24" s="28" t="n">
        <v>6.8</v>
      </c>
      <c r="G24" s="29" t="n">
        <v>1.5</v>
      </c>
      <c r="H24" s="30" t="n">
        <v>20600</v>
      </c>
      <c r="I24" s="27" t="inlineStr">
        <is>
          <t>100m roll</t>
        </is>
      </c>
    </row>
    <row r="25" ht="15" customHeight="1">
      <c r="A25" s="31" t="n">
        <v>5072</v>
      </c>
      <c r="B25" s="31" t="n">
        <v>90</v>
      </c>
      <c r="C25" s="32" t="inlineStr">
        <is>
          <t>PN - 6</t>
        </is>
      </c>
      <c r="D25" s="31" t="n">
        <v>6</v>
      </c>
      <c r="E25" s="33" t="n">
        <v>79.8</v>
      </c>
      <c r="F25" s="33" t="n">
        <v>5.1</v>
      </c>
      <c r="G25" s="34" t="n">
        <v>1.3</v>
      </c>
      <c r="H25" s="35" t="n">
        <v>16700</v>
      </c>
      <c r="I25" s="32" t="inlineStr">
        <is>
          <t>100m roll</t>
        </is>
      </c>
    </row>
    <row r="26" ht="15" customHeight="1">
      <c r="A26" s="26" t="n">
        <v>5073</v>
      </c>
      <c r="B26" s="26" t="n">
        <v>90</v>
      </c>
      <c r="C26" s="27" t="inlineStr">
        <is>
          <t>PN - 10</t>
        </is>
      </c>
      <c r="D26" s="26" t="n">
        <v>10</v>
      </c>
      <c r="E26" s="28" t="n">
        <v>79.2</v>
      </c>
      <c r="F26" s="28" t="n">
        <v>5.4</v>
      </c>
      <c r="G26" s="29" t="n">
        <v>1.5</v>
      </c>
      <c r="H26" s="30" t="n">
        <v>19300</v>
      </c>
      <c r="I26" s="27" t="inlineStr">
        <is>
          <t>100m roll</t>
        </is>
      </c>
    </row>
    <row r="27" ht="15" customHeight="1">
      <c r="A27" s="31" t="n">
        <v>5074</v>
      </c>
      <c r="B27" s="31" t="n">
        <v>90</v>
      </c>
      <c r="C27" s="32" t="inlineStr">
        <is>
          <t>PN - 16</t>
        </is>
      </c>
      <c r="D27" s="31" t="n">
        <v>16</v>
      </c>
      <c r="E27" s="33" t="n">
        <v>73.59999999999999</v>
      </c>
      <c r="F27" s="33" t="n">
        <v>8.199999999999999</v>
      </c>
      <c r="G27" s="34" t="n">
        <v>2.2</v>
      </c>
      <c r="H27" s="35" t="n">
        <v>30100</v>
      </c>
      <c r="I27" s="32" t="inlineStr">
        <is>
          <t>100m roll</t>
        </is>
      </c>
    </row>
    <row r="28" ht="15" customHeight="1">
      <c r="A28" s="26" t="n">
        <v>5082</v>
      </c>
      <c r="B28" s="26" t="n">
        <v>110</v>
      </c>
      <c r="C28" s="27" t="inlineStr">
        <is>
          <t>PN - 6</t>
        </is>
      </c>
      <c r="D28" s="26" t="n">
        <v>6</v>
      </c>
      <c r="E28" s="28" t="n">
        <v>97.40000000000001</v>
      </c>
      <c r="F28" s="28" t="n">
        <v>6.3</v>
      </c>
      <c r="G28" s="29" t="n">
        <v>1.94</v>
      </c>
      <c r="H28" s="30" t="n">
        <v>24800</v>
      </c>
      <c r="I28" s="27" t="inlineStr">
        <is>
          <t>50m roll</t>
        </is>
      </c>
    </row>
    <row r="29" ht="15" customHeight="1">
      <c r="A29" s="31" t="n">
        <v>5083</v>
      </c>
      <c r="B29" s="31" t="n">
        <v>110</v>
      </c>
      <c r="C29" s="32" t="inlineStr">
        <is>
          <t>PN - 10</t>
        </is>
      </c>
      <c r="D29" s="31" t="n">
        <v>10</v>
      </c>
      <c r="E29" s="33" t="n">
        <v>96.8</v>
      </c>
      <c r="F29" s="33" t="n">
        <v>6.6</v>
      </c>
      <c r="G29" s="34" t="n">
        <v>2.25</v>
      </c>
      <c r="H29" s="35" t="n">
        <v>28900</v>
      </c>
      <c r="I29" s="32" t="inlineStr">
        <is>
          <t>50m roll</t>
        </is>
      </c>
    </row>
    <row r="30" ht="15" customHeight="1">
      <c r="A30" s="26" t="n">
        <v>5084</v>
      </c>
      <c r="B30" s="26" t="n">
        <v>110</v>
      </c>
      <c r="C30" s="27" t="inlineStr">
        <is>
          <t>PN - 16</t>
        </is>
      </c>
      <c r="D30" s="26" t="n">
        <v>16</v>
      </c>
      <c r="E30" s="28" t="n">
        <v>90</v>
      </c>
      <c r="F30" s="28" t="n">
        <v>10</v>
      </c>
      <c r="G30" s="29" t="n">
        <v>3.25</v>
      </c>
      <c r="H30" s="30" t="n">
        <v>44600</v>
      </c>
      <c r="I30" s="27" t="inlineStr">
        <is>
          <t>50m roll</t>
        </is>
      </c>
    </row>
    <row r="31" ht="15" customHeight="1">
      <c r="A31" s="31" t="n">
        <v>5200</v>
      </c>
      <c r="B31" s="31" t="n">
        <v>125</v>
      </c>
      <c r="C31" s="32" t="inlineStr">
        <is>
          <t>PN - 6</t>
        </is>
      </c>
      <c r="D31" s="31" t="n">
        <v>6</v>
      </c>
      <c r="E31" s="33" t="n">
        <v>110.8</v>
      </c>
      <c r="F31" s="33" t="n">
        <v>7.1</v>
      </c>
      <c r="G31" s="34" t="n">
        <v>1.94</v>
      </c>
      <c r="H31" s="35" t="n">
        <v>29300</v>
      </c>
      <c r="I31" s="32" t="inlineStr">
        <is>
          <t>6m / 12m lengths</t>
        </is>
      </c>
    </row>
    <row r="32" ht="15" customHeight="1">
      <c r="A32" s="26" t="n">
        <v>5237</v>
      </c>
      <c r="B32" s="26" t="n">
        <v>125</v>
      </c>
      <c r="C32" s="27" t="inlineStr">
        <is>
          <t>PN - 10</t>
        </is>
      </c>
      <c r="D32" s="26" t="n">
        <v>10</v>
      </c>
      <c r="E32" s="28" t="n">
        <v>110.2</v>
      </c>
      <c r="F32" s="28" t="n">
        <v>7.4</v>
      </c>
      <c r="G32" s="29" t="n">
        <v>2.9</v>
      </c>
      <c r="H32" s="30" t="n">
        <v>43700</v>
      </c>
      <c r="I32" s="27" t="inlineStr">
        <is>
          <t>6m / 12m lengths</t>
        </is>
      </c>
    </row>
    <row r="33" ht="15" customHeight="1">
      <c r="A33" s="31" t="n">
        <v>5236</v>
      </c>
      <c r="B33" s="31" t="n">
        <v>125</v>
      </c>
      <c r="C33" s="32" t="inlineStr">
        <is>
          <t>PN - 16</t>
        </is>
      </c>
      <c r="D33" s="31" t="n">
        <v>16</v>
      </c>
      <c r="E33" s="33" t="n">
        <v>102.2</v>
      </c>
      <c r="F33" s="33" t="n">
        <v>11.4</v>
      </c>
      <c r="G33" s="34" t="n">
        <v>4.27</v>
      </c>
      <c r="H33" s="35" t="n">
        <v>64200</v>
      </c>
      <c r="I33" s="32" t="inlineStr">
        <is>
          <t>6m / 12m lengths</t>
        </is>
      </c>
    </row>
    <row r="34" ht="15" customHeight="1">
      <c r="A34" s="26" t="n">
        <v>5238</v>
      </c>
      <c r="B34" s="26" t="n">
        <v>125</v>
      </c>
      <c r="C34" s="27" t="inlineStr">
        <is>
          <t>PN - 20</t>
        </is>
      </c>
      <c r="D34" s="26" t="n">
        <v>20</v>
      </c>
      <c r="E34" s="28" t="n">
        <v>97</v>
      </c>
      <c r="F34" s="28" t="n">
        <v>14</v>
      </c>
      <c r="G34" s="29" t="n">
        <v>5.12</v>
      </c>
      <c r="H34" s="30" t="n">
        <v>77000</v>
      </c>
      <c r="I34" s="27" t="inlineStr">
        <is>
          <t>6m / 12m lengths</t>
        </is>
      </c>
    </row>
    <row r="35" ht="15" customHeight="1">
      <c r="A35" s="31" t="n">
        <v>5210</v>
      </c>
      <c r="B35" s="31" t="n">
        <v>140</v>
      </c>
      <c r="C35" s="32" t="inlineStr">
        <is>
          <t>PN - 6</t>
        </is>
      </c>
      <c r="D35" s="31" t="n">
        <v>6</v>
      </c>
      <c r="E35" s="33" t="n">
        <v>124</v>
      </c>
      <c r="F35" s="33" t="n">
        <v>8</v>
      </c>
      <c r="G35" s="34" t="n">
        <v>2.44</v>
      </c>
      <c r="H35" s="35" t="n">
        <v>36800</v>
      </c>
      <c r="I35" s="32" t="inlineStr">
        <is>
          <t>6m / 12m lengths</t>
        </is>
      </c>
    </row>
    <row r="36" ht="15" customHeight="1">
      <c r="A36" s="26" t="n">
        <v>5241</v>
      </c>
      <c r="B36" s="26" t="n">
        <v>140</v>
      </c>
      <c r="C36" s="27" t="inlineStr">
        <is>
          <t>PN - 10</t>
        </is>
      </c>
      <c r="D36" s="26" t="n">
        <v>10</v>
      </c>
      <c r="E36" s="28" t="n">
        <v>123.4</v>
      </c>
      <c r="F36" s="28" t="n">
        <v>8.300000000000001</v>
      </c>
      <c r="G36" s="29" t="n">
        <v>3.64</v>
      </c>
      <c r="H36" s="30" t="n">
        <v>54700</v>
      </c>
      <c r="I36" s="27" t="inlineStr">
        <is>
          <t>6m / 12m lengths</t>
        </is>
      </c>
    </row>
    <row r="37" ht="15" customHeight="1">
      <c r="A37" s="31" t="n">
        <v>5242</v>
      </c>
      <c r="B37" s="31" t="n">
        <v>140</v>
      </c>
      <c r="C37" s="32" t="inlineStr">
        <is>
          <t>PN - 16</t>
        </is>
      </c>
      <c r="D37" s="31" t="n">
        <v>16</v>
      </c>
      <c r="E37" s="33" t="n">
        <v>114.6</v>
      </c>
      <c r="F37" s="33" t="n">
        <v>12.7</v>
      </c>
      <c r="G37" s="34" t="n">
        <v>5.34</v>
      </c>
      <c r="H37" s="35" t="n">
        <v>80300</v>
      </c>
      <c r="I37" s="32" t="inlineStr">
        <is>
          <t>6m / 12m lengths</t>
        </is>
      </c>
    </row>
    <row r="38" ht="15" customHeight="1">
      <c r="A38" s="26" t="n">
        <v>5243</v>
      </c>
      <c r="B38" s="26" t="n">
        <v>140</v>
      </c>
      <c r="C38" s="27" t="inlineStr">
        <is>
          <t>PN - 20</t>
        </is>
      </c>
      <c r="D38" s="26" t="n">
        <v>20</v>
      </c>
      <c r="E38" s="28" t="n">
        <v>108.6</v>
      </c>
      <c r="F38" s="28" t="n">
        <v>15.7</v>
      </c>
      <c r="G38" s="29" t="n">
        <v>6.43</v>
      </c>
      <c r="H38" s="30" t="n">
        <v>96700</v>
      </c>
      <c r="I38" s="27" t="inlineStr">
        <is>
          <t>6m / 12m lengths</t>
        </is>
      </c>
    </row>
    <row r="39" ht="15" customHeight="1">
      <c r="A39" s="31" t="n">
        <v>5092</v>
      </c>
      <c r="B39" s="31" t="n">
        <v>160</v>
      </c>
      <c r="C39" s="32" t="inlineStr">
        <is>
          <t>PN - 6</t>
        </is>
      </c>
      <c r="D39" s="31" t="n">
        <v>6</v>
      </c>
      <c r="E39" s="33" t="n">
        <v>141.8</v>
      </c>
      <c r="F39" s="33" t="n">
        <v>9.1</v>
      </c>
      <c r="G39" s="34" t="n">
        <v>3.2</v>
      </c>
      <c r="H39" s="35" t="n">
        <v>48800</v>
      </c>
      <c r="I39" s="32" t="inlineStr">
        <is>
          <t>6m / 12m lengths</t>
        </is>
      </c>
    </row>
    <row r="40" ht="15" customHeight="1">
      <c r="A40" s="26" t="n">
        <v>5093</v>
      </c>
      <c r="B40" s="26" t="n">
        <v>160</v>
      </c>
      <c r="C40" s="27" t="inlineStr">
        <is>
          <t>PN - 10</t>
        </is>
      </c>
      <c r="D40" s="26" t="n">
        <v>10</v>
      </c>
      <c r="E40" s="28" t="n">
        <v>141</v>
      </c>
      <c r="F40" s="28" t="n">
        <v>9.5</v>
      </c>
      <c r="G40" s="29" t="n">
        <v>4.9</v>
      </c>
      <c r="H40" s="30" t="n">
        <v>73800</v>
      </c>
      <c r="I40" s="27" t="inlineStr">
        <is>
          <t>6m / 12m lengths</t>
        </is>
      </c>
    </row>
    <row r="41" ht="15" customHeight="1">
      <c r="A41" s="31" t="n">
        <v>5094</v>
      </c>
      <c r="B41" s="31" t="n">
        <v>160</v>
      </c>
      <c r="C41" s="32" t="inlineStr">
        <is>
          <t>PN - 16</t>
        </is>
      </c>
      <c r="D41" s="31" t="n">
        <v>16</v>
      </c>
      <c r="E41" s="33" t="n">
        <v>130.8</v>
      </c>
      <c r="F41" s="33" t="n">
        <v>14.6</v>
      </c>
      <c r="G41" s="34" t="n">
        <v>7</v>
      </c>
      <c r="H41" s="35" t="n">
        <v>105100</v>
      </c>
      <c r="I41" s="32" t="inlineStr">
        <is>
          <t>6m / 12m lengths</t>
        </is>
      </c>
    </row>
    <row r="42" ht="15" customHeight="1">
      <c r="A42" s="26" t="n">
        <v>5095</v>
      </c>
      <c r="B42" s="26" t="n">
        <v>160</v>
      </c>
      <c r="C42" s="27" t="inlineStr">
        <is>
          <t>PN - 20</t>
        </is>
      </c>
      <c r="D42" s="26" t="n">
        <v>20</v>
      </c>
      <c r="E42" s="28" t="n">
        <v>124.2</v>
      </c>
      <c r="F42" s="28" t="n">
        <v>17.9</v>
      </c>
      <c r="G42" s="29" t="n">
        <v>8.390000000000001</v>
      </c>
      <c r="H42" s="30" t="n">
        <v>125900</v>
      </c>
      <c r="I42" s="27" t="inlineStr">
        <is>
          <t>6m / 12m lengths</t>
        </is>
      </c>
    </row>
    <row r="43" ht="15" customHeight="1">
      <c r="A43" s="31" t="n">
        <v>5220</v>
      </c>
      <c r="B43" s="31" t="n">
        <v>180</v>
      </c>
      <c r="C43" s="32" t="inlineStr">
        <is>
          <t>PN - 6</t>
        </is>
      </c>
      <c r="D43" s="31" t="n">
        <v>6</v>
      </c>
      <c r="E43" s="33" t="n">
        <v>159.6</v>
      </c>
      <c r="F43" s="33" t="n">
        <v>10.2</v>
      </c>
      <c r="G43" s="34" t="n">
        <v>4</v>
      </c>
      <c r="H43" s="35" t="n"/>
      <c r="I43" s="32" t="inlineStr">
        <is>
          <t>6m / 12m lengths</t>
        </is>
      </c>
    </row>
    <row r="44" ht="15" customHeight="1">
      <c r="A44" s="26" t="n">
        <v>5249</v>
      </c>
      <c r="B44" s="26" t="n">
        <v>180</v>
      </c>
      <c r="C44" s="27" t="inlineStr">
        <is>
          <t>PN - 10</t>
        </is>
      </c>
      <c r="D44" s="26" t="n">
        <v>10</v>
      </c>
      <c r="E44" s="28" t="n">
        <v>158.6</v>
      </c>
      <c r="F44" s="28" t="n">
        <v>10.7</v>
      </c>
      <c r="G44" s="29" t="n">
        <v>6</v>
      </c>
      <c r="H44" s="30" t="n"/>
      <c r="I44" s="27" t="inlineStr">
        <is>
          <t>6m / 12m lengths</t>
        </is>
      </c>
    </row>
    <row r="45" ht="15" customHeight="1">
      <c r="A45" s="31" t="n">
        <v>5250</v>
      </c>
      <c r="B45" s="31" t="n">
        <v>180</v>
      </c>
      <c r="C45" s="32" t="inlineStr">
        <is>
          <t>PN - 16</t>
        </is>
      </c>
      <c r="D45" s="31" t="n">
        <v>16</v>
      </c>
      <c r="E45" s="33" t="n">
        <v>147.2</v>
      </c>
      <c r="F45" s="33" t="n">
        <v>16.4</v>
      </c>
      <c r="G45" s="34" t="n">
        <v>8.83</v>
      </c>
      <c r="H45" s="35" t="n"/>
      <c r="I45" s="32" t="inlineStr">
        <is>
          <t>6m / 12m lengths</t>
        </is>
      </c>
    </row>
    <row r="46" ht="15" customHeight="1">
      <c r="A46" s="26" t="n">
        <v>5251</v>
      </c>
      <c r="B46" s="26" t="n">
        <v>180</v>
      </c>
      <c r="C46" s="27" t="inlineStr">
        <is>
          <t>PN - 20</t>
        </is>
      </c>
      <c r="D46" s="26" t="n">
        <v>20</v>
      </c>
      <c r="E46" s="28" t="n">
        <v>139.8</v>
      </c>
      <c r="F46" s="28" t="n">
        <v>20.1</v>
      </c>
      <c r="G46" s="29" t="n">
        <v>10.6</v>
      </c>
      <c r="H46" s="30" t="n"/>
      <c r="I46" s="27" t="inlineStr">
        <is>
          <t>6m / 12m lengths</t>
        </is>
      </c>
    </row>
    <row r="47" ht="15" customHeight="1">
      <c r="A47" s="31" t="n">
        <v>5230</v>
      </c>
      <c r="B47" s="31" t="n">
        <v>200</v>
      </c>
      <c r="C47" s="32" t="inlineStr">
        <is>
          <t>PN - 06</t>
        </is>
      </c>
      <c r="D47" s="31" t="n">
        <v>6</v>
      </c>
      <c r="E47" s="33" t="n">
        <v>185.6</v>
      </c>
      <c r="F47" s="33" t="n">
        <v>7.2</v>
      </c>
      <c r="G47" s="34" t="n">
        <v>4.6</v>
      </c>
      <c r="H47" s="35" t="n"/>
      <c r="I47" s="32" t="inlineStr">
        <is>
          <t>6m / 12m lengths</t>
        </is>
      </c>
    </row>
    <row r="48" ht="15" customHeight="1">
      <c r="A48" s="26" t="n">
        <v>5253</v>
      </c>
      <c r="B48" s="26" t="n">
        <v>200</v>
      </c>
      <c r="C48" s="27" t="inlineStr">
        <is>
          <t>PN - 10</t>
        </is>
      </c>
      <c r="D48" s="26" t="n">
        <v>10</v>
      </c>
      <c r="E48" s="28" t="n">
        <v>176.2</v>
      </c>
      <c r="F48" s="28" t="n">
        <v>11.9</v>
      </c>
      <c r="G48" s="29" t="n">
        <v>7.39</v>
      </c>
      <c r="H48" s="30" t="n"/>
      <c r="I48" s="27" t="inlineStr">
        <is>
          <t>6m / 12m lengths</t>
        </is>
      </c>
    </row>
    <row r="49" ht="15" customHeight="1">
      <c r="A49" s="31" t="n">
        <v>5254</v>
      </c>
      <c r="B49" s="31" t="n">
        <v>200</v>
      </c>
      <c r="C49" s="32" t="inlineStr">
        <is>
          <t>PN - 16</t>
        </is>
      </c>
      <c r="D49" s="31" t="n">
        <v>16</v>
      </c>
      <c r="E49" s="33" t="n">
        <v>163.6</v>
      </c>
      <c r="F49" s="33" t="n">
        <v>18.2</v>
      </c>
      <c r="G49" s="34" t="n">
        <v>10.9</v>
      </c>
      <c r="H49" s="35" t="n"/>
      <c r="I49" s="32" t="inlineStr">
        <is>
          <t>6m / 12m lengths</t>
        </is>
      </c>
    </row>
    <row r="50" ht="15" customHeight="1">
      <c r="A50" s="26" t="n">
        <v>5255</v>
      </c>
      <c r="B50" s="26" t="n">
        <v>200</v>
      </c>
      <c r="C50" s="27" t="inlineStr">
        <is>
          <t>PN - 20</t>
        </is>
      </c>
      <c r="D50" s="26" t="n">
        <v>20</v>
      </c>
      <c r="E50" s="28" t="n">
        <v>155.2</v>
      </c>
      <c r="F50" s="28" t="n">
        <v>22.4</v>
      </c>
      <c r="G50" s="29" t="n">
        <v>13.12</v>
      </c>
      <c r="H50" s="30" t="n"/>
      <c r="I50" s="27" t="inlineStr">
        <is>
          <t>6m / 12m lengths</t>
        </is>
      </c>
    </row>
    <row r="51" ht="15" customHeight="1">
      <c r="A51" s="31" t="n">
        <v>5240</v>
      </c>
      <c r="B51" s="31" t="n">
        <v>225</v>
      </c>
      <c r="C51" s="32" t="inlineStr">
        <is>
          <t>PN - 06</t>
        </is>
      </c>
      <c r="D51" s="31" t="n">
        <v>6</v>
      </c>
      <c r="E51" s="33" t="n">
        <v>208.6</v>
      </c>
      <c r="F51" s="33" t="n">
        <v>8.199999999999999</v>
      </c>
      <c r="G51" s="34" t="n">
        <v>5.83</v>
      </c>
      <c r="H51" s="35" t="n"/>
      <c r="I51" s="32" t="inlineStr">
        <is>
          <t>6m / 12m lengths</t>
        </is>
      </c>
    </row>
    <row r="52" ht="15" customHeight="1">
      <c r="A52" s="26" t="n">
        <v>5257</v>
      </c>
      <c r="B52" s="26" t="n">
        <v>225</v>
      </c>
      <c r="C52" s="27" t="inlineStr">
        <is>
          <t>PN - 10</t>
        </is>
      </c>
      <c r="D52" s="26" t="n">
        <v>10</v>
      </c>
      <c r="E52" s="28" t="n">
        <v>198.2</v>
      </c>
      <c r="F52" s="28" t="n">
        <v>13.4</v>
      </c>
      <c r="G52" s="29" t="n">
        <v>9.380000000000001</v>
      </c>
      <c r="H52" s="30" t="n"/>
      <c r="I52" s="27" t="inlineStr">
        <is>
          <t>6m / 12m lengths</t>
        </is>
      </c>
    </row>
    <row r="53" ht="15" customHeight="1">
      <c r="A53" s="31" t="n">
        <v>5258</v>
      </c>
      <c r="B53" s="31" t="n">
        <v>225</v>
      </c>
      <c r="C53" s="32" t="inlineStr">
        <is>
          <t>PN - 16</t>
        </is>
      </c>
      <c r="D53" s="31" t="n">
        <v>16</v>
      </c>
      <c r="E53" s="33" t="n">
        <v>184</v>
      </c>
      <c r="F53" s="33" t="n">
        <v>20.5</v>
      </c>
      <c r="G53" s="34" t="n">
        <v>13.79</v>
      </c>
      <c r="H53" s="35" t="n"/>
      <c r="I53" s="32" t="inlineStr">
        <is>
          <t>6m / 12m lengths</t>
        </is>
      </c>
    </row>
    <row r="54" ht="15" customHeight="1">
      <c r="A54" s="26" t="n">
        <v>5259</v>
      </c>
      <c r="B54" s="26" t="n">
        <v>225</v>
      </c>
      <c r="C54" s="27" t="inlineStr">
        <is>
          <t>PN - 20</t>
        </is>
      </c>
      <c r="D54" s="26" t="n">
        <v>20</v>
      </c>
      <c r="E54" s="28" t="n">
        <v>174.6</v>
      </c>
      <c r="F54" s="28" t="n">
        <v>25.2</v>
      </c>
      <c r="G54" s="29" t="n">
        <v>16.6</v>
      </c>
      <c r="H54" s="30" t="n"/>
      <c r="I54" s="27" t="inlineStr">
        <is>
          <t>6m / 12m lengths</t>
        </is>
      </c>
    </row>
    <row r="55" ht="15" customHeight="1">
      <c r="A55" s="31" t="n">
        <v>5264</v>
      </c>
      <c r="B55" s="31" t="n">
        <v>250</v>
      </c>
      <c r="C55" s="32" t="inlineStr">
        <is>
          <t>PN - 06</t>
        </is>
      </c>
      <c r="D55" s="31" t="n">
        <v>6</v>
      </c>
      <c r="E55" s="33" t="n">
        <v>231.8</v>
      </c>
      <c r="F55" s="33" t="n">
        <v>9.1</v>
      </c>
      <c r="G55" s="34" t="n">
        <v>7.2</v>
      </c>
      <c r="H55" s="35" t="n"/>
      <c r="I55" s="32" t="inlineStr">
        <is>
          <t>6m / 12m lengths</t>
        </is>
      </c>
    </row>
    <row r="56" ht="15" customHeight="1">
      <c r="A56" s="26" t="n">
        <v>5261</v>
      </c>
      <c r="B56" s="26" t="n">
        <v>250</v>
      </c>
      <c r="C56" s="27" t="inlineStr">
        <is>
          <t>PN - 10</t>
        </is>
      </c>
      <c r="D56" s="26" t="n">
        <v>10</v>
      </c>
      <c r="E56" s="28" t="n">
        <v>220.4</v>
      </c>
      <c r="F56" s="28" t="n">
        <v>14.8</v>
      </c>
      <c r="G56" s="29" t="n">
        <v>11.48</v>
      </c>
      <c r="H56" s="30" t="n"/>
      <c r="I56" s="27" t="inlineStr">
        <is>
          <t>6m / 12m lengths</t>
        </is>
      </c>
    </row>
    <row r="57" ht="15" customHeight="1">
      <c r="A57" s="31" t="n">
        <v>5262</v>
      </c>
      <c r="B57" s="31" t="n">
        <v>250</v>
      </c>
      <c r="C57" s="32" t="inlineStr">
        <is>
          <t>PN - 16</t>
        </is>
      </c>
      <c r="D57" s="31" t="n">
        <v>16</v>
      </c>
      <c r="E57" s="33" t="n">
        <v>204.6</v>
      </c>
      <c r="F57" s="33" t="n">
        <v>22.7</v>
      </c>
      <c r="G57" s="34" t="n">
        <v>17.03</v>
      </c>
      <c r="H57" s="35" t="n"/>
      <c r="I57" s="32" t="inlineStr">
        <is>
          <t>6m / 12m lengths</t>
        </is>
      </c>
    </row>
    <row r="58" ht="15" customHeight="1">
      <c r="A58" s="26" t="n">
        <v>5263</v>
      </c>
      <c r="B58" s="26" t="n">
        <v>250</v>
      </c>
      <c r="C58" s="27" t="inlineStr">
        <is>
          <t>PN - 20</t>
        </is>
      </c>
      <c r="D58" s="26" t="n">
        <v>20</v>
      </c>
      <c r="E58" s="28" t="n">
        <v>194.2</v>
      </c>
      <c r="F58" s="28" t="n">
        <v>27.9</v>
      </c>
      <c r="G58" s="29" t="n">
        <v>20.43</v>
      </c>
      <c r="H58" s="30" t="n"/>
      <c r="I58" s="27" t="inlineStr">
        <is>
          <t>6m / 12m lengths</t>
        </is>
      </c>
    </row>
    <row r="59" ht="15" customHeight="1">
      <c r="A59" s="31" t="n">
        <v>5260</v>
      </c>
      <c r="B59" s="31" t="n">
        <v>280</v>
      </c>
      <c r="C59" s="32" t="inlineStr">
        <is>
          <t>PN - 06</t>
        </is>
      </c>
      <c r="D59" s="31" t="n">
        <v>6</v>
      </c>
      <c r="E59" s="33" t="n">
        <v>259.8</v>
      </c>
      <c r="F59" s="33" t="n">
        <v>10.1</v>
      </c>
      <c r="G59" s="34" t="n">
        <v>9.029999999999999</v>
      </c>
      <c r="H59" s="35" t="n"/>
      <c r="I59" s="32" t="inlineStr">
        <is>
          <t>6m / 12m lengths</t>
        </is>
      </c>
    </row>
    <row r="60" ht="15" customHeight="1">
      <c r="A60" s="26" t="n">
        <v>5265</v>
      </c>
      <c r="B60" s="26" t="n">
        <v>280</v>
      </c>
      <c r="C60" s="27" t="inlineStr">
        <is>
          <t>PN - 10</t>
        </is>
      </c>
      <c r="D60" s="26" t="n">
        <v>10</v>
      </c>
      <c r="E60" s="28" t="n">
        <v>246.8</v>
      </c>
      <c r="F60" s="28" t="n">
        <v>16.6</v>
      </c>
      <c r="G60" s="29" t="n">
        <v>14.43</v>
      </c>
      <c r="H60" s="30" t="n"/>
      <c r="I60" s="27" t="inlineStr">
        <is>
          <t>6m / 12m lengths</t>
        </is>
      </c>
    </row>
    <row r="61" ht="15" customHeight="1">
      <c r="A61" s="31" t="n">
        <v>5266</v>
      </c>
      <c r="B61" s="31" t="n">
        <v>280</v>
      </c>
      <c r="C61" s="32" t="inlineStr">
        <is>
          <t>PN - 16</t>
        </is>
      </c>
      <c r="D61" s="31" t="n">
        <v>16</v>
      </c>
      <c r="E61" s="33" t="n">
        <v>229.2</v>
      </c>
      <c r="F61" s="33" t="n">
        <v>25.4</v>
      </c>
      <c r="G61" s="34" t="n">
        <v>21.32</v>
      </c>
      <c r="H61" s="35" t="n"/>
      <c r="I61" s="32" t="inlineStr">
        <is>
          <t>6m / 12m lengths</t>
        </is>
      </c>
    </row>
    <row r="62" ht="15" customHeight="1">
      <c r="A62" s="26" t="n">
        <v>5267</v>
      </c>
      <c r="B62" s="26" t="n">
        <v>280</v>
      </c>
      <c r="C62" s="27" t="inlineStr">
        <is>
          <t>PN - 20</t>
        </is>
      </c>
      <c r="D62" s="26" t="n">
        <v>20</v>
      </c>
      <c r="E62" s="28" t="n">
        <v>217.4</v>
      </c>
      <c r="F62" s="28" t="n">
        <v>31.3</v>
      </c>
      <c r="G62" s="29" t="n">
        <v>25.66</v>
      </c>
      <c r="H62" s="30" t="n"/>
      <c r="I62" s="27" t="inlineStr">
        <is>
          <t>6m / 12m lengths</t>
        </is>
      </c>
    </row>
    <row r="63" ht="15" customHeight="1">
      <c r="A63" s="31" t="n">
        <v>5370</v>
      </c>
      <c r="B63" s="31" t="n">
        <v>315</v>
      </c>
      <c r="C63" s="32" t="inlineStr">
        <is>
          <t>PN - 06</t>
        </is>
      </c>
      <c r="D63" s="31" t="n">
        <v>6</v>
      </c>
      <c r="E63" s="33" t="n">
        <v>292.2</v>
      </c>
      <c r="F63" s="33" t="n">
        <v>11.4</v>
      </c>
      <c r="G63" s="34" t="n">
        <v>11.42</v>
      </c>
      <c r="H63" s="35" t="n"/>
      <c r="I63" s="32" t="inlineStr">
        <is>
          <t>6m / 12m lengths</t>
        </is>
      </c>
    </row>
    <row r="64" ht="15" customHeight="1">
      <c r="A64" s="26" t="n">
        <v>5269</v>
      </c>
      <c r="B64" s="26" t="n">
        <v>315</v>
      </c>
      <c r="C64" s="27" t="inlineStr">
        <is>
          <t>PN - 10</t>
        </is>
      </c>
      <c r="D64" s="26" t="n">
        <v>10</v>
      </c>
      <c r="E64" s="28" t="n">
        <v>277.6</v>
      </c>
      <c r="F64" s="28" t="n">
        <v>18.7</v>
      </c>
      <c r="G64" s="29" t="n">
        <v>18.27</v>
      </c>
      <c r="H64" s="30" t="n"/>
      <c r="I64" s="27" t="inlineStr">
        <is>
          <t>6m / 12m lengths</t>
        </is>
      </c>
    </row>
    <row r="65" ht="15" customHeight="1">
      <c r="A65" s="31" t="n">
        <v>5270</v>
      </c>
      <c r="B65" s="31" t="n">
        <v>315</v>
      </c>
      <c r="C65" s="32" t="inlineStr">
        <is>
          <t>PN - 16</t>
        </is>
      </c>
      <c r="D65" s="31" t="n">
        <v>16</v>
      </c>
      <c r="E65" s="33" t="n">
        <v>257.8</v>
      </c>
      <c r="F65" s="33" t="n">
        <v>28.6</v>
      </c>
      <c r="G65" s="34" t="n">
        <v>27.05</v>
      </c>
      <c r="H65" s="35" t="n"/>
      <c r="I65" s="32" t="inlineStr">
        <is>
          <t>6m / 12m lengths</t>
        </is>
      </c>
    </row>
    <row r="66" ht="15" customHeight="1">
      <c r="A66" s="26" t="n">
        <v>5271</v>
      </c>
      <c r="B66" s="26" t="n">
        <v>315</v>
      </c>
      <c r="C66" s="27" t="inlineStr">
        <is>
          <t>PN - 20</t>
        </is>
      </c>
      <c r="D66" s="26" t="n">
        <v>20</v>
      </c>
      <c r="E66" s="28" t="n">
        <v>244.6</v>
      </c>
      <c r="F66" s="28" t="n">
        <v>35.2</v>
      </c>
      <c r="G66" s="29" t="n">
        <v>32.47</v>
      </c>
      <c r="H66" s="30" t="n"/>
      <c r="I66" s="27" t="inlineStr">
        <is>
          <t>6m / 12m lengths</t>
        </is>
      </c>
    </row>
    <row r="67" ht="15" customHeight="1">
      <c r="A67" s="31" t="n">
        <v>5280</v>
      </c>
      <c r="B67" s="31" t="n">
        <v>355</v>
      </c>
      <c r="C67" s="32" t="inlineStr">
        <is>
          <t>PN - 06</t>
        </is>
      </c>
      <c r="D67" s="31" t="n">
        <v>6</v>
      </c>
      <c r="E67" s="33" t="n">
        <v>329.2</v>
      </c>
      <c r="F67" s="33" t="n">
        <v>12.9</v>
      </c>
      <c r="G67" s="34" t="n">
        <v>14.51</v>
      </c>
      <c r="H67" s="35" t="n"/>
      <c r="I67" s="32" t="inlineStr">
        <is>
          <t>6m / 12m lengths</t>
        </is>
      </c>
    </row>
    <row r="68" ht="15" customHeight="1">
      <c r="A68" s="26" t="n">
        <v>5273</v>
      </c>
      <c r="B68" s="26" t="n">
        <v>355</v>
      </c>
      <c r="C68" s="27" t="inlineStr">
        <is>
          <t>PN - 10</t>
        </is>
      </c>
      <c r="D68" s="26" t="n">
        <v>10</v>
      </c>
      <c r="E68" s="28" t="n">
        <v>312.8</v>
      </c>
      <c r="F68" s="28" t="n">
        <v>21.1</v>
      </c>
      <c r="G68" s="29" t="n">
        <v>23.26</v>
      </c>
      <c r="H68" s="30" t="n"/>
      <c r="I68" s="27" t="inlineStr">
        <is>
          <t>6m / 12m lengths</t>
        </is>
      </c>
    </row>
    <row r="69" ht="15" customHeight="1">
      <c r="A69" s="31" t="n">
        <v>5274</v>
      </c>
      <c r="B69" s="31" t="n">
        <v>355</v>
      </c>
      <c r="C69" s="32" t="inlineStr">
        <is>
          <t>PN - 16</t>
        </is>
      </c>
      <c r="D69" s="31" t="n">
        <v>16</v>
      </c>
      <c r="E69" s="33" t="n">
        <v>290.6</v>
      </c>
      <c r="F69" s="33" t="n">
        <v>32.2</v>
      </c>
      <c r="G69" s="34" t="n">
        <v>34.27</v>
      </c>
      <c r="H69" s="35" t="n"/>
      <c r="I69" s="32" t="inlineStr">
        <is>
          <t>6m / 12m lengths</t>
        </is>
      </c>
    </row>
    <row r="70" ht="15" customHeight="1">
      <c r="A70" s="26" t="n">
        <v>5275</v>
      </c>
      <c r="B70" s="26" t="n">
        <v>355</v>
      </c>
      <c r="C70" s="27" t="inlineStr">
        <is>
          <t>PN - 20</t>
        </is>
      </c>
      <c r="D70" s="26" t="n">
        <v>20</v>
      </c>
      <c r="E70" s="28" t="n">
        <v>275.6</v>
      </c>
      <c r="F70" s="28" t="n">
        <v>39.7</v>
      </c>
      <c r="G70" s="29" t="n">
        <v>41.27</v>
      </c>
      <c r="H70" s="30" t="n"/>
      <c r="I70" s="27" t="inlineStr">
        <is>
          <t>6m / 12m lengths</t>
        </is>
      </c>
    </row>
    <row r="71" ht="15" customHeight="1">
      <c r="A71" s="31" t="n">
        <v>5290</v>
      </c>
      <c r="B71" s="31" t="n">
        <v>400</v>
      </c>
      <c r="C71" s="32" t="inlineStr">
        <is>
          <t>PN - 06</t>
        </is>
      </c>
      <c r="D71" s="31" t="n">
        <v>6</v>
      </c>
      <c r="E71" s="33" t="n">
        <v>371</v>
      </c>
      <c r="F71" s="33" t="n">
        <v>14.5</v>
      </c>
      <c r="G71" s="34" t="n">
        <v>18.42</v>
      </c>
      <c r="H71" s="35" t="n"/>
      <c r="I71" s="32" t="inlineStr">
        <is>
          <t>6m / 12m lengths</t>
        </is>
      </c>
    </row>
    <row r="72" ht="15" customHeight="1">
      <c r="A72" s="26" t="n">
        <v>5277</v>
      </c>
      <c r="B72" s="26" t="n">
        <v>400</v>
      </c>
      <c r="C72" s="27" t="inlineStr">
        <is>
          <t>PN - 10</t>
        </is>
      </c>
      <c r="D72" s="26" t="n">
        <v>10</v>
      </c>
      <c r="E72" s="28" t="n">
        <v>352.6</v>
      </c>
      <c r="F72" s="28" t="n">
        <v>23.7</v>
      </c>
      <c r="G72" s="29" t="n">
        <v>29.4</v>
      </c>
      <c r="H72" s="30" t="n"/>
      <c r="I72" s="27" t="inlineStr">
        <is>
          <t>6m / 12m lengths</t>
        </is>
      </c>
    </row>
    <row r="73" ht="15" customHeight="1">
      <c r="A73" s="31" t="n">
        <v>5278</v>
      </c>
      <c r="B73" s="31" t="n">
        <v>400</v>
      </c>
      <c r="C73" s="32" t="inlineStr">
        <is>
          <t>PN - 16</t>
        </is>
      </c>
      <c r="D73" s="31" t="n">
        <v>16</v>
      </c>
      <c r="E73" s="33" t="n">
        <v>327.4</v>
      </c>
      <c r="F73" s="33" t="n">
        <v>36.3</v>
      </c>
      <c r="G73" s="34" t="n">
        <v>43.53</v>
      </c>
      <c r="H73" s="35" t="n"/>
      <c r="I73" s="32" t="inlineStr">
        <is>
          <t>6m / 12m lengths</t>
        </is>
      </c>
    </row>
    <row r="74" ht="15" customHeight="1">
      <c r="A74" s="26" t="n">
        <v>5279</v>
      </c>
      <c r="B74" s="26" t="n">
        <v>400</v>
      </c>
      <c r="C74" s="27" t="inlineStr">
        <is>
          <t>PN - 20</t>
        </is>
      </c>
      <c r="D74" s="26" t="n">
        <v>20</v>
      </c>
      <c r="E74" s="28" t="n">
        <v>310.6</v>
      </c>
      <c r="F74" s="28" t="n">
        <v>44.7</v>
      </c>
      <c r="G74" s="29" t="n">
        <v>52.36</v>
      </c>
      <c r="H74" s="30" t="n"/>
      <c r="I74" s="27" t="inlineStr">
        <is>
          <t>6m / 12m lengths</t>
        </is>
      </c>
    </row>
    <row r="75" ht="15" customHeight="1">
      <c r="A75" s="31" t="n">
        <v>5300</v>
      </c>
      <c r="B75" s="31" t="n">
        <v>450</v>
      </c>
      <c r="C75" s="32" t="inlineStr">
        <is>
          <t>PN - 06</t>
        </is>
      </c>
      <c r="D75" s="31" t="n">
        <v>6</v>
      </c>
      <c r="E75" s="33" t="n">
        <v>417.4</v>
      </c>
      <c r="F75" s="33" t="n">
        <v>16.3</v>
      </c>
      <c r="G75" s="34" t="n">
        <v>23.31</v>
      </c>
      <c r="H75" s="35" t="n"/>
      <c r="I75" s="32" t="inlineStr">
        <is>
          <t>6m / 12m lengths</t>
        </is>
      </c>
    </row>
    <row r="76" ht="15" customHeight="1">
      <c r="A76" s="26" t="n">
        <v>5281</v>
      </c>
      <c r="B76" s="26" t="n">
        <v>450</v>
      </c>
      <c r="C76" s="27" t="inlineStr">
        <is>
          <t>PN - 10</t>
        </is>
      </c>
      <c r="D76" s="26" t="n">
        <v>10</v>
      </c>
      <c r="E76" s="28" t="n">
        <v>396.6</v>
      </c>
      <c r="F76" s="28" t="n">
        <v>26.7</v>
      </c>
      <c r="G76" s="29" t="n">
        <v>37.26</v>
      </c>
      <c r="H76" s="30" t="n"/>
      <c r="I76" s="27" t="inlineStr">
        <is>
          <t>6m / 12m lengths</t>
        </is>
      </c>
    </row>
    <row r="77" ht="15" customHeight="1">
      <c r="A77" s="31" t="n">
        <v>5282</v>
      </c>
      <c r="B77" s="31" t="n">
        <v>450</v>
      </c>
      <c r="C77" s="32" t="inlineStr">
        <is>
          <t>PN - 16</t>
        </is>
      </c>
      <c r="D77" s="31" t="n">
        <v>16</v>
      </c>
      <c r="E77" s="33" t="n">
        <v>368.2</v>
      </c>
      <c r="F77" s="33" t="n">
        <v>40.9</v>
      </c>
      <c r="G77" s="34" t="n">
        <v>55.17</v>
      </c>
      <c r="H77" s="35" t="n"/>
      <c r="I77" s="32" t="inlineStr">
        <is>
          <t>6m / 12m lengths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S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2" customWidth="1" min="4" max="4"/>
    <col width="12" customWidth="1" min="5" max="5"/>
    <col width="8" customWidth="1" min="6" max="6"/>
    <col width="9" customWidth="1" min="7" max="7"/>
    <col width="11" customWidth="1" min="8" max="8"/>
    <col width="12" customWidth="1" min="9" max="9"/>
    <col width="11" customWidth="1" min="10" max="10"/>
    <col width="10" customWidth="1" min="11" max="11"/>
    <col width="12" customWidth="1" min="12" max="12"/>
    <col width="10" customWidth="1" min="13" max="13"/>
    <col width="11" customWidth="1" min="14" max="14"/>
    <col width="12" customWidth="1" min="15" max="15"/>
    <col width="11" customWidth="1" min="16" max="16"/>
    <col width="11" customWidth="1" min="17" max="17"/>
    <col width="13" customWidth="1" min="18" max="18"/>
    <col width="14" customWidth="1" min="19" max="19"/>
  </cols>
  <sheetData>
    <row r="1" ht="30" customHeight="1">
      <c r="A1" s="19" t="inlineStr">
        <is>
          <t>TOTAL DYNAMIC HEAD (TDH) CALCULATION</t>
        </is>
      </c>
    </row>
    <row r="2" ht="18" customHeight="1">
      <c r="A2" s="36" t="inlineStr">
        <is>
          <t>Production Well  →  Storage Reservoir  |  Hazen-Williams  |  HDPE PE100  |  Uganda WSS DM 2nd Ed.</t>
        </is>
      </c>
    </row>
    <row r="3" ht="8" customHeight="1"/>
    <row r="4" ht="18" customHeight="1">
      <c r="A4" s="3" t="inlineStr">
        <is>
          <t>SECTION 1 — SITE &amp; WELL DATA  (enter survey / pump test data)</t>
        </is>
      </c>
    </row>
    <row r="5" ht="18" customHeight="1">
      <c r="A5" s="4" t="inlineStr">
        <is>
          <t>Ground Elevation at Wellhead</t>
        </is>
      </c>
      <c r="E5" s="23" t="n"/>
      <c r="F5" s="37" t="inlineStr">
        <is>
          <t>m ASL</t>
        </is>
      </c>
      <c r="G5" s="38" t="inlineStr">
        <is>
          <t>From topographic survey</t>
        </is>
      </c>
    </row>
    <row r="6" ht="18" customHeight="1">
      <c r="A6" s="4" t="inlineStr">
        <is>
          <t>Static Water Level (SWL)</t>
        </is>
      </c>
      <c r="E6" s="23" t="n"/>
      <c r="F6" s="37" t="inlineStr">
        <is>
          <t>m bgl</t>
        </is>
      </c>
      <c r="G6" s="38" t="inlineStr">
        <is>
          <t>Measured with pump off</t>
        </is>
      </c>
    </row>
    <row r="7" ht="18" customHeight="1">
      <c r="A7" s="4" t="inlineStr">
        <is>
          <t>Pumping / Dynamic Water Level (PWL)</t>
        </is>
      </c>
      <c r="E7" s="23" t="n"/>
      <c r="F7" s="37" t="inlineStr">
        <is>
          <t>m bgl</t>
        </is>
      </c>
      <c r="G7" s="38" t="inlineStr">
        <is>
          <t>From pump test at design flow</t>
        </is>
      </c>
    </row>
    <row r="8" ht="18" customHeight="1">
      <c r="A8" s="4" t="inlineStr">
        <is>
          <t>Pump Setting Depth</t>
        </is>
      </c>
      <c r="E8" s="23" t="n"/>
      <c r="F8" s="37" t="inlineStr">
        <is>
          <t>m bgl</t>
        </is>
      </c>
      <c r="G8" s="38" t="inlineStr">
        <is>
          <t>Depth of pump intake below ground surface</t>
        </is>
      </c>
    </row>
    <row r="9" ht="18" customHeight="1">
      <c r="A9" s="4" t="inlineStr">
        <is>
          <t>Design Flow Rate  Q</t>
        </is>
      </c>
      <c r="E9" s="23" t="n"/>
      <c r="F9" s="37" t="inlineStr">
        <is>
          <t>L/s</t>
        </is>
      </c>
      <c r="G9" s="38" t="inlineStr">
        <is>
          <t>Pump design capacity</t>
        </is>
      </c>
    </row>
    <row r="10" ht="18" customHeight="1">
      <c r="A10" s="4" t="inlineStr">
        <is>
          <t>Pump Operating Hours per Day</t>
        </is>
      </c>
      <c r="E10" s="39">
        <f>PARAMETERS!$C$24</f>
        <v/>
      </c>
      <c r="F10" s="37" t="inlineStr">
        <is>
          <t>hr/day</t>
        </is>
      </c>
      <c r="G10" s="38" t="inlineStr">
        <is>
          <t>From PARAMETERS — adjust if needed</t>
        </is>
      </c>
    </row>
    <row r="11" ht="18" customHeight="1">
      <c r="A11" s="4" t="inlineStr">
        <is>
          <t>Reservoir Floor Elevation</t>
        </is>
      </c>
      <c r="E11" s="23" t="n"/>
      <c r="F11" s="37" t="inlineStr">
        <is>
          <t>m ASL</t>
        </is>
      </c>
      <c r="G11" s="38" t="inlineStr">
        <is>
          <t>From topographic survey</t>
        </is>
      </c>
    </row>
    <row r="12" ht="18" customHeight="1">
      <c r="A12" s="4" t="inlineStr">
        <is>
          <t>Reservoir High Water Level (HWL)</t>
        </is>
      </c>
      <c r="E12" s="23" t="n"/>
      <c r="F12" s="37" t="inlineStr">
        <is>
          <t>m ASL</t>
        </is>
      </c>
      <c r="G12" s="38" t="inlineStr">
        <is>
          <t>Full storage level</t>
        </is>
      </c>
    </row>
    <row r="13" ht="18" customHeight="1">
      <c r="A13" s="4" t="inlineStr">
        <is>
          <t>Required Minimum Water Level in Reservoir</t>
        </is>
      </c>
      <c r="E13" s="23" t="n"/>
      <c r="F13" s="37" t="inlineStr">
        <is>
          <t>m ASL</t>
        </is>
      </c>
      <c r="G13" s="38" t="inlineStr">
        <is>
          <t>Floor elevation + minimum operational storage depth</t>
        </is>
      </c>
    </row>
    <row r="14" ht="8" customHeight="1"/>
    <row r="15" ht="18" customHeight="1">
      <c r="A15" s="3" t="inlineStr">
        <is>
          <t>SECTION 2 — DERIVED ELEVATIONS</t>
        </is>
      </c>
    </row>
    <row r="16" ht="18" customHeight="1">
      <c r="A16" s="40" t="inlineStr">
        <is>
          <t>Elevation of Pumping Water Level</t>
        </is>
      </c>
      <c r="E16" s="41">
        <f>IFERROR(E5-E7,"")</f>
        <v/>
      </c>
      <c r="F16" s="37" t="inlineStr">
        <is>
          <t>m ASL</t>
        </is>
      </c>
    </row>
    <row r="17" ht="18" customHeight="1">
      <c r="A17" s="40" t="inlineStr">
        <is>
          <t>Elevation of Static Water Level</t>
        </is>
      </c>
      <c r="E17" s="41">
        <f>IFERROR(E5-E6,"")</f>
        <v/>
      </c>
      <c r="F17" s="37" t="inlineStr">
        <is>
          <t>m ASL</t>
        </is>
      </c>
    </row>
    <row r="18" ht="18" customHeight="1">
      <c r="A18" s="40" t="inlineStr">
        <is>
          <t>Minimum Static Head Required  (HWL – Pumping WL Elevation)</t>
        </is>
      </c>
      <c r="E18" s="41">
        <f>IFERROR(E12-(E5-E7),"")</f>
        <v/>
      </c>
      <c r="F18" s="37" t="inlineStr">
        <is>
          <t>m</t>
        </is>
      </c>
    </row>
    <row r="19" ht="8" customHeight="1"/>
    <row r="20" ht="18" customHeight="1">
      <c r="A20" s="3" t="inlineStr">
        <is>
          <t>SECTION 3 — RISING MAIN / DISCHARGE PIPELINE SEGMENTS</t>
        </is>
      </c>
    </row>
    <row r="21" ht="42" customHeight="1">
      <c r="A21" s="42" t="inlineStr">
        <is>
          <t>Enter each segment from pump level to reservoir. Segment 1 = pump column (From Elev = Ground Elev – Pump Setting Depth; To Elev = Ground Elev at wellhead). Subsequent segments = surface pipeline to reservoir. Allow. S (col H) defaults to transmission standard — override per segment if needed. OD, PN Rating, and ID are auto-selected from PIPE_DB.  Rows with Length = 0 are skipped.</t>
        </is>
      </c>
    </row>
    <row r="22" ht="42" customHeight="1">
      <c r="A22" s="8" t="inlineStr">
        <is>
          <t>#</t>
        </is>
      </c>
      <c r="B22" s="8" t="inlineStr">
        <is>
          <t>Segment Description</t>
        </is>
      </c>
      <c r="C22" s="8" t="inlineStr">
        <is>
          <t>Length
(m)</t>
        </is>
      </c>
      <c r="D22" s="8" t="inlineStr">
        <is>
          <t>From Elev
(m ASL)</t>
        </is>
      </c>
      <c r="E22" s="8" t="inlineStr">
        <is>
          <t>To Elev
(m ASL)</t>
        </is>
      </c>
      <c r="F22" s="8" t="inlineStr">
        <is>
          <t>ΔElev
(m)</t>
        </is>
      </c>
      <c r="G22" s="8" t="inlineStr">
        <is>
          <t>Q
(L/s)</t>
        </is>
      </c>
      <c r="H22" s="8" t="inlineStr">
        <is>
          <t>Allow. S
(m/km)</t>
        </is>
      </c>
      <c r="I22" s="8" t="inlineStr">
        <is>
          <t>Min D_req
(mm)</t>
        </is>
      </c>
      <c r="J22" s="8" t="inlineStr">
        <is>
          <t>Auto OD
(mm)</t>
        </is>
      </c>
      <c r="K22" s="8" t="inlineStr">
        <is>
          <t>Auto PN
Num</t>
        </is>
      </c>
      <c r="L22" s="8" t="inlineStr">
        <is>
          <t>Auto PN
Rating</t>
        </is>
      </c>
      <c r="M22" s="8" t="inlineStr">
        <is>
          <t>Actual ID
(mm)</t>
        </is>
      </c>
      <c r="N22" s="8" t="inlineStr">
        <is>
          <t>Velocity
(m/s)</t>
        </is>
      </c>
      <c r="O22" s="8" t="inlineStr">
        <is>
          <t>Friction
hf (m)</t>
        </is>
      </c>
      <c r="P22" s="8" t="inlineStr">
        <is>
          <t>Minor
Loss (m)</t>
        </is>
      </c>
      <c r="Q22" s="8" t="inlineStr">
        <is>
          <t>Total
Loss (m)</t>
        </is>
      </c>
      <c r="R22" s="8" t="inlineStr">
        <is>
          <t>Max Press.
In Seg (m)</t>
        </is>
      </c>
      <c r="S22" s="8" t="inlineStr">
        <is>
          <t>Status</t>
        </is>
      </c>
    </row>
    <row r="23" ht="18" customHeight="1">
      <c r="A23" s="43" t="n">
        <v>1</v>
      </c>
      <c r="B23" s="5" t="inlineStr">
        <is>
          <t>Pump Column (inside well casing)</t>
        </is>
      </c>
      <c r="C23" s="44" t="n"/>
      <c r="D23" s="23" t="n"/>
      <c r="E23" s="23" t="n"/>
      <c r="F23" s="45">
        <f>IF(OR(D23="",E23=""),"",E23-D23)</f>
        <v/>
      </c>
      <c r="G23" s="46" t="inlineStr">
        <is>
          <t>$E$9</t>
        </is>
      </c>
      <c r="H23" s="47">
        <f>PARAMETERS!$C$22</f>
        <v/>
      </c>
      <c r="I23" s="48">
        <f>IF(G23&lt;=0,"""",IFERROR(MAX(1000*((10.67*(G23/1000)^1.852)/(PARAMETERS!$C$5^1.852*(H23/1000)))^(1/4.87),1000*SQRT(4*(G23/1000)/(PI()*PARAMETERS!$C$7))),0))</f>
        <v/>
      </c>
      <c r="J23" s="49">
        <f>IF(OR(G23&lt;=0,I23=""""),"""",IFERROR(AGGREGATE(15,6,PIPE_DB!$B$4:$B$77/((PIPE_DB!$E$4:$E$77&gt;=I23)*(PIPE_DB!$D$4:$D$77=K23)),1),"SIZE N/A"))</f>
        <v/>
      </c>
      <c r="K23" s="50">
        <f>IF(R23="""","""",IF(R23&lt;=PARAMETERS!$C$13/PARAMETERS!$C$17,6,IF(R23&lt;=PARAMETERS!$C$14/PARAMETERS!$C$17,10,IF(R23&lt;=PARAMETERS!$C$15/PARAMETERS!$C$17,16,20))))</f>
        <v/>
      </c>
      <c r="L23" s="50">
        <f>IF(K23="""","""",IF(K23=6,"PN - 6",IF(K23=10,"PN - 10",IF(K23=16,"PN - 16","PN - 20"))))</f>
        <v/>
      </c>
      <c r="M23" s="45">
        <f>IF(OR(J23="""",J23="SIZE N/A",NOT(ISNUMBER(J23))),"""",IFERROR(SUMPRODUCT((PIPE_DB!$B$4:$B$77=J23)*(PIPE_DB!$D$4:$D$77=K23)*PIPE_DB!$E$4:$E$77),0))</f>
        <v/>
      </c>
      <c r="N23" s="51">
        <f>IF(OR(G23&lt;=0,M23="""",NOT(ISNUMBER(M23))),"""",IFERROR(4*(G23/1000)/(PI()*(M23/1000)^2),0))</f>
        <v/>
      </c>
      <c r="O23" s="51">
        <f>IF(OR(G23&lt;=0,M23="""",NOT(ISNUMBER(M23))),"""",IFERROR(10.67*C23*(G23/1000)^1.852/(PARAMETERS!$C$5^1.852*(M23/1000)^4.87),0))</f>
        <v/>
      </c>
      <c r="P23" s="51">
        <f>IF(O23="""","""",IFERROR(PARAMETERS!$C$10*O23,0))</f>
        <v/>
      </c>
      <c r="Q23" s="51">
        <f>IF(O23="""","""",IFERROR(O23+P23,0))</f>
        <v/>
      </c>
      <c r="R23" s="48">
        <f>IF(OR(D23="",E23=""),"",IFERROR($E$12-MIN(D23,E23),0))</f>
        <v/>
      </c>
      <c r="S23" s="50">
        <f>IF(J23="""","""",IF(J23="SIZE N/A","⚠ SIZE N/A",IF(N23="""","""",IF(AND(N23&gt;=PARAMETERS!$C$6,N23&lt;=PARAMETERS!$C$7,IFERROR($E$12-E23,0)&gt;=PARAMETERS!$C$21),"✓ OK",IF(N23&lt;PARAMETERS!$C$6,"⚠ LOW VELOCITY",IF(N23&gt;PARAMETERS!$C$7,"⚠ HIGH VELOCITY","⚠ LOW PRESSURE"))))))</f>
        <v/>
      </c>
    </row>
    <row r="24" ht="18" customHeight="1">
      <c r="A24" s="43" t="n">
        <v>2</v>
      </c>
      <c r="B24" s="5" t="inlineStr">
        <is>
          <t>Surface Rising Main — Segment 1</t>
        </is>
      </c>
      <c r="C24" s="44" t="n"/>
      <c r="D24" s="23" t="n"/>
      <c r="E24" s="23" t="n"/>
      <c r="F24" s="45">
        <f>IF(OR(D24="",E24=""),"",E24-D24)</f>
        <v/>
      </c>
      <c r="G24" s="46" t="inlineStr">
        <is>
          <t>$E$9</t>
        </is>
      </c>
      <c r="H24" s="47">
        <f>PARAMETERS!$C$22</f>
        <v/>
      </c>
      <c r="I24" s="48">
        <f>IF(G24&lt;=0,"""",IFERROR(MAX(1000*((10.67*(G24/1000)^1.852)/(PARAMETERS!$C$5^1.852*(H24/1000)))^(1/4.87),1000*SQRT(4*(G24/1000)/(PI()*PARAMETERS!$C$7))),0))</f>
        <v/>
      </c>
      <c r="J24" s="49">
        <f>IF(OR(G24&lt;=0,I24=""""),"""",IFERROR(AGGREGATE(15,6,PIPE_DB!$B$4:$B$77/((PIPE_DB!$E$4:$E$77&gt;=I24)*(PIPE_DB!$D$4:$D$77=K24)),1),"SIZE N/A"))</f>
        <v/>
      </c>
      <c r="K24" s="50">
        <f>IF(R24="""","""",IF(R24&lt;=PARAMETERS!$C$13/PARAMETERS!$C$17,6,IF(R24&lt;=PARAMETERS!$C$14/PARAMETERS!$C$17,10,IF(R24&lt;=PARAMETERS!$C$15/PARAMETERS!$C$17,16,20))))</f>
        <v/>
      </c>
      <c r="L24" s="50">
        <f>IF(K24="""","""",IF(K24=6,"PN - 6",IF(K24=10,"PN - 10",IF(K24=16,"PN - 16","PN - 20"))))</f>
        <v/>
      </c>
      <c r="M24" s="45">
        <f>IF(OR(J24="""",J24="SIZE N/A",NOT(ISNUMBER(J24))),"""",IFERROR(SUMPRODUCT((PIPE_DB!$B$4:$B$77=J24)*(PIPE_DB!$D$4:$D$77=K24)*PIPE_DB!$E$4:$E$77),0))</f>
        <v/>
      </c>
      <c r="N24" s="51">
        <f>IF(OR(G24&lt;=0,M24="""",NOT(ISNUMBER(M24))),"""",IFERROR(4*(G24/1000)/(PI()*(M24/1000)^2),0))</f>
        <v/>
      </c>
      <c r="O24" s="51">
        <f>IF(OR(G24&lt;=0,M24="""",NOT(ISNUMBER(M24))),"""",IFERROR(10.67*C24*(G24/1000)^1.852/(PARAMETERS!$C$5^1.852*(M24/1000)^4.87),0))</f>
        <v/>
      </c>
      <c r="P24" s="51">
        <f>IF(O24="""","""",IFERROR(PARAMETERS!$C$10*O24,0))</f>
        <v/>
      </c>
      <c r="Q24" s="51">
        <f>IF(O24="""","""",IFERROR(O24+P24,0))</f>
        <v/>
      </c>
      <c r="R24" s="48">
        <f>IF(OR(D24="",E24=""),"",IFERROR($E$12-MIN(D24,E24),0))</f>
        <v/>
      </c>
      <c r="S24" s="50">
        <f>IF(J24="""","""",IF(J24="SIZE N/A","⚠ SIZE N/A",IF(N24="""","""",IF(AND(N24&gt;=PARAMETERS!$C$6,N24&lt;=PARAMETERS!$C$7,IFERROR($E$12-E24,0)&gt;=PARAMETERS!$C$21),"✓ OK",IF(N24&lt;PARAMETERS!$C$6,"⚠ LOW VELOCITY",IF(N24&gt;PARAMETERS!$C$7,"⚠ HIGH VELOCITY","⚠ LOW PRESSURE"))))))</f>
        <v/>
      </c>
    </row>
    <row r="25" ht="18" customHeight="1">
      <c r="A25" s="43" t="n">
        <v>3</v>
      </c>
      <c r="B25" s="5" t="inlineStr">
        <is>
          <t>Surface Rising Main — Segment 2</t>
        </is>
      </c>
      <c r="C25" s="44" t="n"/>
      <c r="D25" s="23" t="n"/>
      <c r="E25" s="23" t="n"/>
      <c r="F25" s="45">
        <f>IF(OR(D25="",E25=""),"",E25-D25)</f>
        <v/>
      </c>
      <c r="G25" s="46" t="inlineStr">
        <is>
          <t>$E$9</t>
        </is>
      </c>
      <c r="H25" s="47">
        <f>PARAMETERS!$C$22</f>
        <v/>
      </c>
      <c r="I25" s="48">
        <f>IF(G25&lt;=0,"""",IFERROR(MAX(1000*((10.67*(G25/1000)^1.852)/(PARAMETERS!$C$5^1.852*(H25/1000)))^(1/4.87),1000*SQRT(4*(G25/1000)/(PI()*PARAMETERS!$C$7))),0))</f>
        <v/>
      </c>
      <c r="J25" s="49">
        <f>IF(OR(G25&lt;=0,I25=""""),"""",IFERROR(AGGREGATE(15,6,PIPE_DB!$B$4:$B$77/((PIPE_DB!$E$4:$E$77&gt;=I25)*(PIPE_DB!$D$4:$D$77=K25)),1),"SIZE N/A"))</f>
        <v/>
      </c>
      <c r="K25" s="50">
        <f>IF(R25="""","""",IF(R25&lt;=PARAMETERS!$C$13/PARAMETERS!$C$17,6,IF(R25&lt;=PARAMETERS!$C$14/PARAMETERS!$C$17,10,IF(R25&lt;=PARAMETERS!$C$15/PARAMETERS!$C$17,16,20))))</f>
        <v/>
      </c>
      <c r="L25" s="50">
        <f>IF(K25="""","""",IF(K25=6,"PN - 6",IF(K25=10,"PN - 10",IF(K25=16,"PN - 16","PN - 20"))))</f>
        <v/>
      </c>
      <c r="M25" s="45">
        <f>IF(OR(J25="""",J25="SIZE N/A",NOT(ISNUMBER(J25))),"""",IFERROR(SUMPRODUCT((PIPE_DB!$B$4:$B$77=J25)*(PIPE_DB!$D$4:$D$77=K25)*PIPE_DB!$E$4:$E$77),0))</f>
        <v/>
      </c>
      <c r="N25" s="51">
        <f>IF(OR(G25&lt;=0,M25="""",NOT(ISNUMBER(M25))),"""",IFERROR(4*(G25/1000)/(PI()*(M25/1000)^2),0))</f>
        <v/>
      </c>
      <c r="O25" s="51">
        <f>IF(OR(G25&lt;=0,M25="""",NOT(ISNUMBER(M25))),"""",IFERROR(10.67*C25*(G25/1000)^1.852/(PARAMETERS!$C$5^1.852*(M25/1000)^4.87),0))</f>
        <v/>
      </c>
      <c r="P25" s="51">
        <f>IF(O25="""","""",IFERROR(PARAMETERS!$C$10*O25,0))</f>
        <v/>
      </c>
      <c r="Q25" s="51">
        <f>IF(O25="""","""",IFERROR(O25+P25,0))</f>
        <v/>
      </c>
      <c r="R25" s="48">
        <f>IF(OR(D25="",E25=""),"",IFERROR($E$12-MIN(D25,E25),0))</f>
        <v/>
      </c>
      <c r="S25" s="50">
        <f>IF(J25="""","""",IF(J25="SIZE N/A","⚠ SIZE N/A",IF(N25="""","""",IF(AND(N25&gt;=PARAMETERS!$C$6,N25&lt;=PARAMETERS!$C$7,IFERROR($E$12-E25,0)&gt;=PARAMETERS!$C$21),"✓ OK",IF(N25&lt;PARAMETERS!$C$6,"⚠ LOW VELOCITY",IF(N25&gt;PARAMETERS!$C$7,"⚠ HIGH VELOCITY","⚠ LOW PRESSURE"))))))</f>
        <v/>
      </c>
    </row>
    <row r="26" ht="18" customHeight="1">
      <c r="A26" s="43" t="n">
        <v>4</v>
      </c>
      <c r="B26" s="5" t="inlineStr">
        <is>
          <t>Surface Rising Main — Segment 3</t>
        </is>
      </c>
      <c r="C26" s="44" t="n"/>
      <c r="D26" s="23" t="n"/>
      <c r="E26" s="23" t="n"/>
      <c r="F26" s="45">
        <f>IF(OR(D26="",E26=""),"",E26-D26)</f>
        <v/>
      </c>
      <c r="G26" s="46" t="inlineStr">
        <is>
          <t>$E$9</t>
        </is>
      </c>
      <c r="H26" s="47">
        <f>PARAMETERS!$C$22</f>
        <v/>
      </c>
      <c r="I26" s="48">
        <f>IF(G26&lt;=0,"""",IFERROR(MAX(1000*((10.67*(G26/1000)^1.852)/(PARAMETERS!$C$5^1.852*(H26/1000)))^(1/4.87),1000*SQRT(4*(G26/1000)/(PI()*PARAMETERS!$C$7))),0))</f>
        <v/>
      </c>
      <c r="J26" s="49">
        <f>IF(OR(G26&lt;=0,I26=""""),"""",IFERROR(AGGREGATE(15,6,PIPE_DB!$B$4:$B$77/((PIPE_DB!$E$4:$E$77&gt;=I26)*(PIPE_DB!$D$4:$D$77=K26)),1),"SIZE N/A"))</f>
        <v/>
      </c>
      <c r="K26" s="50">
        <f>IF(R26="""","""",IF(R26&lt;=PARAMETERS!$C$13/PARAMETERS!$C$17,6,IF(R26&lt;=PARAMETERS!$C$14/PARAMETERS!$C$17,10,IF(R26&lt;=PARAMETERS!$C$15/PARAMETERS!$C$17,16,20))))</f>
        <v/>
      </c>
      <c r="L26" s="50">
        <f>IF(K26="""","""",IF(K26=6,"PN - 6",IF(K26=10,"PN - 10",IF(K26=16,"PN - 16","PN - 20"))))</f>
        <v/>
      </c>
      <c r="M26" s="45">
        <f>IF(OR(J26="""",J26="SIZE N/A",NOT(ISNUMBER(J26))),"""",IFERROR(SUMPRODUCT((PIPE_DB!$B$4:$B$77=J26)*(PIPE_DB!$D$4:$D$77=K26)*PIPE_DB!$E$4:$E$77),0))</f>
        <v/>
      </c>
      <c r="N26" s="51">
        <f>IF(OR(G26&lt;=0,M26="""",NOT(ISNUMBER(M26))),"""",IFERROR(4*(G26/1000)/(PI()*(M26/1000)^2),0))</f>
        <v/>
      </c>
      <c r="O26" s="51">
        <f>IF(OR(G26&lt;=0,M26="""",NOT(ISNUMBER(M26))),"""",IFERROR(10.67*C26*(G26/1000)^1.852/(PARAMETERS!$C$5^1.852*(M26/1000)^4.87),0))</f>
        <v/>
      </c>
      <c r="P26" s="51">
        <f>IF(O26="""","""",IFERROR(PARAMETERS!$C$10*O26,0))</f>
        <v/>
      </c>
      <c r="Q26" s="51">
        <f>IF(O26="""","""",IFERROR(O26+P26,0))</f>
        <v/>
      </c>
      <c r="R26" s="48">
        <f>IF(OR(D26="",E26=""),"",IFERROR($E$12-MIN(D26,E26),0))</f>
        <v/>
      </c>
      <c r="S26" s="50">
        <f>IF(J26="""","""",IF(J26="SIZE N/A","⚠ SIZE N/A",IF(N26="""","""",IF(AND(N26&gt;=PARAMETERS!$C$6,N26&lt;=PARAMETERS!$C$7,IFERROR($E$12-E26,0)&gt;=PARAMETERS!$C$21),"✓ OK",IF(N26&lt;PARAMETERS!$C$6,"⚠ LOW VELOCITY",IF(N26&gt;PARAMETERS!$C$7,"⚠ HIGH VELOCITY","⚠ LOW PRESSURE"))))))</f>
        <v/>
      </c>
    </row>
    <row r="27" ht="18" customHeight="1">
      <c r="A27" s="43" t="n">
        <v>5</v>
      </c>
      <c r="B27" s="5" t="n"/>
      <c r="C27" s="44" t="n"/>
      <c r="D27" s="23" t="n"/>
      <c r="E27" s="23" t="n"/>
      <c r="F27" s="45">
        <f>IF(OR(D27="",E27=""),"",E27-D27)</f>
        <v/>
      </c>
      <c r="G27" s="46" t="inlineStr">
        <is>
          <t>$E$9</t>
        </is>
      </c>
      <c r="H27" s="47">
        <f>PARAMETERS!$C$22</f>
        <v/>
      </c>
      <c r="I27" s="48">
        <f>IF(G27&lt;=0,"""",IFERROR(MAX(1000*((10.67*(G27/1000)^1.852)/(PARAMETERS!$C$5^1.852*(H27/1000)))^(1/4.87),1000*SQRT(4*(G27/1000)/(PI()*PARAMETERS!$C$7))),0))</f>
        <v/>
      </c>
      <c r="J27" s="49">
        <f>IF(OR(G27&lt;=0,I27=""""),"""",IFERROR(AGGREGATE(15,6,PIPE_DB!$B$4:$B$77/((PIPE_DB!$E$4:$E$77&gt;=I27)*(PIPE_DB!$D$4:$D$77=K27)),1),"SIZE N/A"))</f>
        <v/>
      </c>
      <c r="K27" s="50">
        <f>IF(R27="""","""",IF(R27&lt;=PARAMETERS!$C$13/PARAMETERS!$C$17,6,IF(R27&lt;=PARAMETERS!$C$14/PARAMETERS!$C$17,10,IF(R27&lt;=PARAMETERS!$C$15/PARAMETERS!$C$17,16,20))))</f>
        <v/>
      </c>
      <c r="L27" s="50">
        <f>IF(K27="""","""",IF(K27=6,"PN - 6",IF(K27=10,"PN - 10",IF(K27=16,"PN - 16","PN - 20"))))</f>
        <v/>
      </c>
      <c r="M27" s="45">
        <f>IF(OR(J27="""",J27="SIZE N/A",NOT(ISNUMBER(J27))),"""",IFERROR(SUMPRODUCT((PIPE_DB!$B$4:$B$77=J27)*(PIPE_DB!$D$4:$D$77=K27)*PIPE_DB!$E$4:$E$77),0))</f>
        <v/>
      </c>
      <c r="N27" s="51">
        <f>IF(OR(G27&lt;=0,M27="""",NOT(ISNUMBER(M27))),"""",IFERROR(4*(G27/1000)/(PI()*(M27/1000)^2),0))</f>
        <v/>
      </c>
      <c r="O27" s="51">
        <f>IF(OR(G27&lt;=0,M27="""",NOT(ISNUMBER(M27))),"""",IFERROR(10.67*C27*(G27/1000)^1.852/(PARAMETERS!$C$5^1.852*(M27/1000)^4.87),0))</f>
        <v/>
      </c>
      <c r="P27" s="51">
        <f>IF(O27="""","""",IFERROR(PARAMETERS!$C$10*O27,0))</f>
        <v/>
      </c>
      <c r="Q27" s="51">
        <f>IF(O27="""","""",IFERROR(O27+P27,0))</f>
        <v/>
      </c>
      <c r="R27" s="48">
        <f>IF(OR(D27="",E27=""),"",IFERROR($E$12-MIN(D27,E27),0))</f>
        <v/>
      </c>
      <c r="S27" s="50">
        <f>IF(J27="""","""",IF(J27="SIZE N/A","⚠ SIZE N/A",IF(N27="""","""",IF(AND(N27&gt;=PARAMETERS!$C$6,N27&lt;=PARAMETERS!$C$7,IFERROR($E$12-E27,0)&gt;=PARAMETERS!$C$21),"✓ OK",IF(N27&lt;PARAMETERS!$C$6,"⚠ LOW VELOCITY",IF(N27&gt;PARAMETERS!$C$7,"⚠ HIGH VELOCITY","⚠ LOW PRESSURE"))))))</f>
        <v/>
      </c>
    </row>
    <row r="28" ht="18" customHeight="1">
      <c r="A28" s="43" t="n">
        <v>6</v>
      </c>
      <c r="B28" s="5" t="n"/>
      <c r="C28" s="44" t="n"/>
      <c r="D28" s="23" t="n"/>
      <c r="E28" s="23" t="n"/>
      <c r="F28" s="45">
        <f>IF(OR(D28="",E28=""),"",E28-D28)</f>
        <v/>
      </c>
      <c r="G28" s="46" t="inlineStr">
        <is>
          <t>$E$9</t>
        </is>
      </c>
      <c r="H28" s="47">
        <f>PARAMETERS!$C$22</f>
        <v/>
      </c>
      <c r="I28" s="48">
        <f>IF(G28&lt;=0,"""",IFERROR(MAX(1000*((10.67*(G28/1000)^1.852)/(PARAMETERS!$C$5^1.852*(H28/1000)))^(1/4.87),1000*SQRT(4*(G28/1000)/(PI()*PARAMETERS!$C$7))),0))</f>
        <v/>
      </c>
      <c r="J28" s="49">
        <f>IF(OR(G28&lt;=0,I28=""""),"""",IFERROR(AGGREGATE(15,6,PIPE_DB!$B$4:$B$77/((PIPE_DB!$E$4:$E$77&gt;=I28)*(PIPE_DB!$D$4:$D$77=K28)),1),"SIZE N/A"))</f>
        <v/>
      </c>
      <c r="K28" s="50">
        <f>IF(R28="""","""",IF(R28&lt;=PARAMETERS!$C$13/PARAMETERS!$C$17,6,IF(R28&lt;=PARAMETERS!$C$14/PARAMETERS!$C$17,10,IF(R28&lt;=PARAMETERS!$C$15/PARAMETERS!$C$17,16,20))))</f>
        <v/>
      </c>
      <c r="L28" s="50">
        <f>IF(K28="""","""",IF(K28=6,"PN - 6",IF(K28=10,"PN - 10",IF(K28=16,"PN - 16","PN - 20"))))</f>
        <v/>
      </c>
      <c r="M28" s="45">
        <f>IF(OR(J28="""",J28="SIZE N/A",NOT(ISNUMBER(J28))),"""",IFERROR(SUMPRODUCT((PIPE_DB!$B$4:$B$77=J28)*(PIPE_DB!$D$4:$D$77=K28)*PIPE_DB!$E$4:$E$77),0))</f>
        <v/>
      </c>
      <c r="N28" s="51">
        <f>IF(OR(G28&lt;=0,M28="""",NOT(ISNUMBER(M28))),"""",IFERROR(4*(G28/1000)/(PI()*(M28/1000)^2),0))</f>
        <v/>
      </c>
      <c r="O28" s="51">
        <f>IF(OR(G28&lt;=0,M28="""",NOT(ISNUMBER(M28))),"""",IFERROR(10.67*C28*(G28/1000)^1.852/(PARAMETERS!$C$5^1.852*(M28/1000)^4.87),0))</f>
        <v/>
      </c>
      <c r="P28" s="51">
        <f>IF(O28="""","""",IFERROR(PARAMETERS!$C$10*O28,0))</f>
        <v/>
      </c>
      <c r="Q28" s="51">
        <f>IF(O28="""","""",IFERROR(O28+P28,0))</f>
        <v/>
      </c>
      <c r="R28" s="48">
        <f>IF(OR(D28="",E28=""),"",IFERROR($E$12-MIN(D28,E28),0))</f>
        <v/>
      </c>
      <c r="S28" s="50">
        <f>IF(J28="""","""",IF(J28="SIZE N/A","⚠ SIZE N/A",IF(N28="""","""",IF(AND(N28&gt;=PARAMETERS!$C$6,N28&lt;=PARAMETERS!$C$7,IFERROR($E$12-E28,0)&gt;=PARAMETERS!$C$21),"✓ OK",IF(N28&lt;PARAMETERS!$C$6,"⚠ LOW VELOCITY",IF(N28&gt;PARAMETERS!$C$7,"⚠ HIGH VELOCITY","⚠ LOW PRESSURE"))))))</f>
        <v/>
      </c>
    </row>
    <row r="29" ht="18" customHeight="1">
      <c r="A29" s="43" t="n">
        <v>7</v>
      </c>
      <c r="B29" s="5" t="n"/>
      <c r="C29" s="44" t="n"/>
      <c r="D29" s="23" t="n"/>
      <c r="E29" s="23" t="n"/>
      <c r="F29" s="45">
        <f>IF(OR(D29="",E29=""),"",E29-D29)</f>
        <v/>
      </c>
      <c r="G29" s="46" t="inlineStr">
        <is>
          <t>$E$9</t>
        </is>
      </c>
      <c r="H29" s="47">
        <f>PARAMETERS!$C$22</f>
        <v/>
      </c>
      <c r="I29" s="48">
        <f>IF(G29&lt;=0,"""",IFERROR(MAX(1000*((10.67*(G29/1000)^1.852)/(PARAMETERS!$C$5^1.852*(H29/1000)))^(1/4.87),1000*SQRT(4*(G29/1000)/(PI()*PARAMETERS!$C$7))),0))</f>
        <v/>
      </c>
      <c r="J29" s="49">
        <f>IF(OR(G29&lt;=0,I29=""""),"""",IFERROR(AGGREGATE(15,6,PIPE_DB!$B$4:$B$77/((PIPE_DB!$E$4:$E$77&gt;=I29)*(PIPE_DB!$D$4:$D$77=K29)),1),"SIZE N/A"))</f>
        <v/>
      </c>
      <c r="K29" s="50">
        <f>IF(R29="""","""",IF(R29&lt;=PARAMETERS!$C$13/PARAMETERS!$C$17,6,IF(R29&lt;=PARAMETERS!$C$14/PARAMETERS!$C$17,10,IF(R29&lt;=PARAMETERS!$C$15/PARAMETERS!$C$17,16,20))))</f>
        <v/>
      </c>
      <c r="L29" s="50">
        <f>IF(K29="""","""",IF(K29=6,"PN - 6",IF(K29=10,"PN - 10",IF(K29=16,"PN - 16","PN - 20"))))</f>
        <v/>
      </c>
      <c r="M29" s="45">
        <f>IF(OR(J29="""",J29="SIZE N/A",NOT(ISNUMBER(J29))),"""",IFERROR(SUMPRODUCT((PIPE_DB!$B$4:$B$77=J29)*(PIPE_DB!$D$4:$D$77=K29)*PIPE_DB!$E$4:$E$77),0))</f>
        <v/>
      </c>
      <c r="N29" s="51">
        <f>IF(OR(G29&lt;=0,M29="""",NOT(ISNUMBER(M29))),"""",IFERROR(4*(G29/1000)/(PI()*(M29/1000)^2),0))</f>
        <v/>
      </c>
      <c r="O29" s="51">
        <f>IF(OR(G29&lt;=0,M29="""",NOT(ISNUMBER(M29))),"""",IFERROR(10.67*C29*(G29/1000)^1.852/(PARAMETERS!$C$5^1.852*(M29/1000)^4.87),0))</f>
        <v/>
      </c>
      <c r="P29" s="51">
        <f>IF(O29="""","""",IFERROR(PARAMETERS!$C$10*O29,0))</f>
        <v/>
      </c>
      <c r="Q29" s="51">
        <f>IF(O29="""","""",IFERROR(O29+P29,0))</f>
        <v/>
      </c>
      <c r="R29" s="48">
        <f>IF(OR(D29="",E29=""),"",IFERROR($E$12-MIN(D29,E29),0))</f>
        <v/>
      </c>
      <c r="S29" s="50">
        <f>IF(J29="""","""",IF(J29="SIZE N/A","⚠ SIZE N/A",IF(N29="""","""",IF(AND(N29&gt;=PARAMETERS!$C$6,N29&lt;=PARAMETERS!$C$7,IFERROR($E$12-E29,0)&gt;=PARAMETERS!$C$21),"✓ OK",IF(N29&lt;PARAMETERS!$C$6,"⚠ LOW VELOCITY",IF(N29&gt;PARAMETERS!$C$7,"⚠ HIGH VELOCITY","⚠ LOW PRESSURE"))))))</f>
        <v/>
      </c>
    </row>
    <row r="30" ht="18" customHeight="1">
      <c r="A30" s="43" t="n">
        <v>8</v>
      </c>
      <c r="B30" s="5" t="n"/>
      <c r="C30" s="44" t="n"/>
      <c r="D30" s="23" t="n"/>
      <c r="E30" s="23" t="n"/>
      <c r="F30" s="45">
        <f>IF(OR(D30="",E30=""),"",E30-D30)</f>
        <v/>
      </c>
      <c r="G30" s="46" t="inlineStr">
        <is>
          <t>$E$9</t>
        </is>
      </c>
      <c r="H30" s="47">
        <f>PARAMETERS!$C$22</f>
        <v/>
      </c>
      <c r="I30" s="48">
        <f>IF(G30&lt;=0,"""",IFERROR(MAX(1000*((10.67*(G30/1000)^1.852)/(PARAMETERS!$C$5^1.852*(H30/1000)))^(1/4.87),1000*SQRT(4*(G30/1000)/(PI()*PARAMETERS!$C$7))),0))</f>
        <v/>
      </c>
      <c r="J30" s="49">
        <f>IF(OR(G30&lt;=0,I30=""""),"""",IFERROR(AGGREGATE(15,6,PIPE_DB!$B$4:$B$77/((PIPE_DB!$E$4:$E$77&gt;=I30)*(PIPE_DB!$D$4:$D$77=K30)),1),"SIZE N/A"))</f>
        <v/>
      </c>
      <c r="K30" s="50">
        <f>IF(R30="""","""",IF(R30&lt;=PARAMETERS!$C$13/PARAMETERS!$C$17,6,IF(R30&lt;=PARAMETERS!$C$14/PARAMETERS!$C$17,10,IF(R30&lt;=PARAMETERS!$C$15/PARAMETERS!$C$17,16,20))))</f>
        <v/>
      </c>
      <c r="L30" s="50">
        <f>IF(K30="""","""",IF(K30=6,"PN - 6",IF(K30=10,"PN - 10",IF(K30=16,"PN - 16","PN - 20"))))</f>
        <v/>
      </c>
      <c r="M30" s="45">
        <f>IF(OR(J30="""",J30="SIZE N/A",NOT(ISNUMBER(J30))),"""",IFERROR(SUMPRODUCT((PIPE_DB!$B$4:$B$77=J30)*(PIPE_DB!$D$4:$D$77=K30)*PIPE_DB!$E$4:$E$77),0))</f>
        <v/>
      </c>
      <c r="N30" s="51">
        <f>IF(OR(G30&lt;=0,M30="""",NOT(ISNUMBER(M30))),"""",IFERROR(4*(G30/1000)/(PI()*(M30/1000)^2),0))</f>
        <v/>
      </c>
      <c r="O30" s="51">
        <f>IF(OR(G30&lt;=0,M30="""",NOT(ISNUMBER(M30))),"""",IFERROR(10.67*C30*(G30/1000)^1.852/(PARAMETERS!$C$5^1.852*(M30/1000)^4.87),0))</f>
        <v/>
      </c>
      <c r="P30" s="51">
        <f>IF(O30="""","""",IFERROR(PARAMETERS!$C$10*O30,0))</f>
        <v/>
      </c>
      <c r="Q30" s="51">
        <f>IF(O30="""","""",IFERROR(O30+P30,0))</f>
        <v/>
      </c>
      <c r="R30" s="48">
        <f>IF(OR(D30="",E30=""),"",IFERROR($E$12-MIN(D30,E30),0))</f>
        <v/>
      </c>
      <c r="S30" s="50">
        <f>IF(J30="""","""",IF(J30="SIZE N/A","⚠ SIZE N/A",IF(N30="""","""",IF(AND(N30&gt;=PARAMETERS!$C$6,N30&lt;=PARAMETERS!$C$7,IFERROR($E$12-E30,0)&gt;=PARAMETERS!$C$21),"✓ OK",IF(N30&lt;PARAMETERS!$C$6,"⚠ LOW VELOCITY",IF(N30&gt;PARAMETERS!$C$7,"⚠ HIGH VELOCITY","⚠ LOW PRESSURE"))))))</f>
        <v/>
      </c>
    </row>
    <row r="31" ht="18" customHeight="1">
      <c r="A31" s="43" t="n">
        <v>9</v>
      </c>
      <c r="B31" s="5" t="n"/>
      <c r="C31" s="44" t="n"/>
      <c r="D31" s="23" t="n"/>
      <c r="E31" s="23" t="n"/>
      <c r="F31" s="45">
        <f>IF(OR(D31="",E31=""),"",E31-D31)</f>
        <v/>
      </c>
      <c r="G31" s="46" t="inlineStr">
        <is>
          <t>$E$9</t>
        </is>
      </c>
      <c r="H31" s="47">
        <f>PARAMETERS!$C$22</f>
        <v/>
      </c>
      <c r="I31" s="48">
        <f>IF(G31&lt;=0,"""",IFERROR(MAX(1000*((10.67*(G31/1000)^1.852)/(PARAMETERS!$C$5^1.852*(H31/1000)))^(1/4.87),1000*SQRT(4*(G31/1000)/(PI()*PARAMETERS!$C$7))),0))</f>
        <v/>
      </c>
      <c r="J31" s="49">
        <f>IF(OR(G31&lt;=0,I31=""""),"""",IFERROR(AGGREGATE(15,6,PIPE_DB!$B$4:$B$77/((PIPE_DB!$E$4:$E$77&gt;=I31)*(PIPE_DB!$D$4:$D$77=K31)),1),"SIZE N/A"))</f>
        <v/>
      </c>
      <c r="K31" s="50">
        <f>IF(R31="""","""",IF(R31&lt;=PARAMETERS!$C$13/PARAMETERS!$C$17,6,IF(R31&lt;=PARAMETERS!$C$14/PARAMETERS!$C$17,10,IF(R31&lt;=PARAMETERS!$C$15/PARAMETERS!$C$17,16,20))))</f>
        <v/>
      </c>
      <c r="L31" s="50">
        <f>IF(K31="""","""",IF(K31=6,"PN - 6",IF(K31=10,"PN - 10",IF(K31=16,"PN - 16","PN - 20"))))</f>
        <v/>
      </c>
      <c r="M31" s="45">
        <f>IF(OR(J31="""",J31="SIZE N/A",NOT(ISNUMBER(J31))),"""",IFERROR(SUMPRODUCT((PIPE_DB!$B$4:$B$77=J31)*(PIPE_DB!$D$4:$D$77=K31)*PIPE_DB!$E$4:$E$77),0))</f>
        <v/>
      </c>
      <c r="N31" s="51">
        <f>IF(OR(G31&lt;=0,M31="""",NOT(ISNUMBER(M31))),"""",IFERROR(4*(G31/1000)/(PI()*(M31/1000)^2),0))</f>
        <v/>
      </c>
      <c r="O31" s="51">
        <f>IF(OR(G31&lt;=0,M31="""",NOT(ISNUMBER(M31))),"""",IFERROR(10.67*C31*(G31/1000)^1.852/(PARAMETERS!$C$5^1.852*(M31/1000)^4.87),0))</f>
        <v/>
      </c>
      <c r="P31" s="51">
        <f>IF(O31="""","""",IFERROR(PARAMETERS!$C$10*O31,0))</f>
        <v/>
      </c>
      <c r="Q31" s="51">
        <f>IF(O31="""","""",IFERROR(O31+P31,0))</f>
        <v/>
      </c>
      <c r="R31" s="48">
        <f>IF(OR(D31="",E31=""),"",IFERROR($E$12-MIN(D31,E31),0))</f>
        <v/>
      </c>
      <c r="S31" s="50">
        <f>IF(J31="""","""",IF(J31="SIZE N/A","⚠ SIZE N/A",IF(N31="""","""",IF(AND(N31&gt;=PARAMETERS!$C$6,N31&lt;=PARAMETERS!$C$7,IFERROR($E$12-E31,0)&gt;=PARAMETERS!$C$21),"✓ OK",IF(N31&lt;PARAMETERS!$C$6,"⚠ LOW VELOCITY",IF(N31&gt;PARAMETERS!$C$7,"⚠ HIGH VELOCITY","⚠ LOW PRESSURE"))))))</f>
        <v/>
      </c>
    </row>
    <row r="32" ht="18" customHeight="1">
      <c r="A32" s="43" t="n">
        <v>10</v>
      </c>
      <c r="B32" s="5" t="n"/>
      <c r="C32" s="44" t="n"/>
      <c r="D32" s="23" t="n"/>
      <c r="E32" s="23" t="n"/>
      <c r="F32" s="45">
        <f>IF(OR(D32="",E32=""),"",E32-D32)</f>
        <v/>
      </c>
      <c r="G32" s="46" t="inlineStr">
        <is>
          <t>$E$9</t>
        </is>
      </c>
      <c r="H32" s="47">
        <f>PARAMETERS!$C$22</f>
        <v/>
      </c>
      <c r="I32" s="48">
        <f>IF(G32&lt;=0,"""",IFERROR(MAX(1000*((10.67*(G32/1000)^1.852)/(PARAMETERS!$C$5^1.852*(H32/1000)))^(1/4.87),1000*SQRT(4*(G32/1000)/(PI()*PARAMETERS!$C$7))),0))</f>
        <v/>
      </c>
      <c r="J32" s="49">
        <f>IF(OR(G32&lt;=0,I32=""""),"""",IFERROR(AGGREGATE(15,6,PIPE_DB!$B$4:$B$77/((PIPE_DB!$E$4:$E$77&gt;=I32)*(PIPE_DB!$D$4:$D$77=K32)),1),"SIZE N/A"))</f>
        <v/>
      </c>
      <c r="K32" s="50">
        <f>IF(R32="""","""",IF(R32&lt;=PARAMETERS!$C$13/PARAMETERS!$C$17,6,IF(R32&lt;=PARAMETERS!$C$14/PARAMETERS!$C$17,10,IF(R32&lt;=PARAMETERS!$C$15/PARAMETERS!$C$17,16,20))))</f>
        <v/>
      </c>
      <c r="L32" s="50">
        <f>IF(K32="""","""",IF(K32=6,"PN - 6",IF(K32=10,"PN - 10",IF(K32=16,"PN - 16","PN - 20"))))</f>
        <v/>
      </c>
      <c r="M32" s="45">
        <f>IF(OR(J32="""",J32="SIZE N/A",NOT(ISNUMBER(J32))),"""",IFERROR(SUMPRODUCT((PIPE_DB!$B$4:$B$77=J32)*(PIPE_DB!$D$4:$D$77=K32)*PIPE_DB!$E$4:$E$77),0))</f>
        <v/>
      </c>
      <c r="N32" s="51">
        <f>IF(OR(G32&lt;=0,M32="""",NOT(ISNUMBER(M32))),"""",IFERROR(4*(G32/1000)/(PI()*(M32/1000)^2),0))</f>
        <v/>
      </c>
      <c r="O32" s="51">
        <f>IF(OR(G32&lt;=0,M32="""",NOT(ISNUMBER(M32))),"""",IFERROR(10.67*C32*(G32/1000)^1.852/(PARAMETERS!$C$5^1.852*(M32/1000)^4.87),0))</f>
        <v/>
      </c>
      <c r="P32" s="51">
        <f>IF(O32="""","""",IFERROR(PARAMETERS!$C$10*O32,0))</f>
        <v/>
      </c>
      <c r="Q32" s="51">
        <f>IF(O32="""","""",IFERROR(O32+P32,0))</f>
        <v/>
      </c>
      <c r="R32" s="48">
        <f>IF(OR(D32="",E32=""),"",IFERROR($E$12-MIN(D32,E32),0))</f>
        <v/>
      </c>
      <c r="S32" s="50">
        <f>IF(J32="""","""",IF(J32="SIZE N/A","⚠ SIZE N/A",IF(N32="""","""",IF(AND(N32&gt;=PARAMETERS!$C$6,N32&lt;=PARAMETERS!$C$7,IFERROR($E$12-E32,0)&gt;=PARAMETERS!$C$21),"✓ OK",IF(N32&lt;PARAMETERS!$C$6,"⚠ LOW VELOCITY",IF(N32&gt;PARAMETERS!$C$7,"⚠ HIGH VELOCITY","⚠ LOW PRESSURE"))))))</f>
        <v/>
      </c>
    </row>
    <row r="33" ht="18" customHeight="1">
      <c r="A33" s="43" t="n">
        <v>11</v>
      </c>
      <c r="B33" s="5" t="n"/>
      <c r="C33" s="44" t="n"/>
      <c r="D33" s="23" t="n"/>
      <c r="E33" s="23" t="n"/>
      <c r="F33" s="45">
        <f>IF(OR(D33="",E33=""),"",E33-D33)</f>
        <v/>
      </c>
      <c r="G33" s="46" t="inlineStr">
        <is>
          <t>$E$9</t>
        </is>
      </c>
      <c r="H33" s="47">
        <f>PARAMETERS!$C$22</f>
        <v/>
      </c>
      <c r="I33" s="48">
        <f>IF(G33&lt;=0,"""",IFERROR(MAX(1000*((10.67*(G33/1000)^1.852)/(PARAMETERS!$C$5^1.852*(H33/1000)))^(1/4.87),1000*SQRT(4*(G33/1000)/(PI()*PARAMETERS!$C$7))),0))</f>
        <v/>
      </c>
      <c r="J33" s="49">
        <f>IF(OR(G33&lt;=0,I33=""""),"""",IFERROR(AGGREGATE(15,6,PIPE_DB!$B$4:$B$77/((PIPE_DB!$E$4:$E$77&gt;=I33)*(PIPE_DB!$D$4:$D$77=K33)),1),"SIZE N/A"))</f>
        <v/>
      </c>
      <c r="K33" s="50">
        <f>IF(R33="""","""",IF(R33&lt;=PARAMETERS!$C$13/PARAMETERS!$C$17,6,IF(R33&lt;=PARAMETERS!$C$14/PARAMETERS!$C$17,10,IF(R33&lt;=PARAMETERS!$C$15/PARAMETERS!$C$17,16,20))))</f>
        <v/>
      </c>
      <c r="L33" s="50">
        <f>IF(K33="""","""",IF(K33=6,"PN - 6",IF(K33=10,"PN - 10",IF(K33=16,"PN - 16","PN - 20"))))</f>
        <v/>
      </c>
      <c r="M33" s="45">
        <f>IF(OR(J33="""",J33="SIZE N/A",NOT(ISNUMBER(J33))),"""",IFERROR(SUMPRODUCT((PIPE_DB!$B$4:$B$77=J33)*(PIPE_DB!$D$4:$D$77=K33)*PIPE_DB!$E$4:$E$77),0))</f>
        <v/>
      </c>
      <c r="N33" s="51">
        <f>IF(OR(G33&lt;=0,M33="""",NOT(ISNUMBER(M33))),"""",IFERROR(4*(G33/1000)/(PI()*(M33/1000)^2),0))</f>
        <v/>
      </c>
      <c r="O33" s="51">
        <f>IF(OR(G33&lt;=0,M33="""",NOT(ISNUMBER(M33))),"""",IFERROR(10.67*C33*(G33/1000)^1.852/(PARAMETERS!$C$5^1.852*(M33/1000)^4.87),0))</f>
        <v/>
      </c>
      <c r="P33" s="51">
        <f>IF(O33="""","""",IFERROR(PARAMETERS!$C$10*O33,0))</f>
        <v/>
      </c>
      <c r="Q33" s="51">
        <f>IF(O33="""","""",IFERROR(O33+P33,0))</f>
        <v/>
      </c>
      <c r="R33" s="48">
        <f>IF(OR(D33="",E33=""),"",IFERROR($E$12-MIN(D33,E33),0))</f>
        <v/>
      </c>
      <c r="S33" s="50">
        <f>IF(J33="""","""",IF(J33="SIZE N/A","⚠ SIZE N/A",IF(N33="""","""",IF(AND(N33&gt;=PARAMETERS!$C$6,N33&lt;=PARAMETERS!$C$7,IFERROR($E$12-E33,0)&gt;=PARAMETERS!$C$21),"✓ OK",IF(N33&lt;PARAMETERS!$C$6,"⚠ LOW VELOCITY",IF(N33&gt;PARAMETERS!$C$7,"⚠ HIGH VELOCITY","⚠ LOW PRESSURE"))))))</f>
        <v/>
      </c>
    </row>
    <row r="34" ht="18" customHeight="1">
      <c r="A34" s="43" t="n">
        <v>12</v>
      </c>
      <c r="B34" s="5" t="n"/>
      <c r="C34" s="44" t="n"/>
      <c r="D34" s="23" t="n"/>
      <c r="E34" s="23" t="n"/>
      <c r="F34" s="45">
        <f>IF(OR(D34="",E34=""),"",E34-D34)</f>
        <v/>
      </c>
      <c r="G34" s="46" t="inlineStr">
        <is>
          <t>$E$9</t>
        </is>
      </c>
      <c r="H34" s="47">
        <f>PARAMETERS!$C$22</f>
        <v/>
      </c>
      <c r="I34" s="48">
        <f>IF(G34&lt;=0,"""",IFERROR(MAX(1000*((10.67*(G34/1000)^1.852)/(PARAMETERS!$C$5^1.852*(H34/1000)))^(1/4.87),1000*SQRT(4*(G34/1000)/(PI()*PARAMETERS!$C$7))),0))</f>
        <v/>
      </c>
      <c r="J34" s="49">
        <f>IF(OR(G34&lt;=0,I34=""""),"""",IFERROR(AGGREGATE(15,6,PIPE_DB!$B$4:$B$77/((PIPE_DB!$E$4:$E$77&gt;=I34)*(PIPE_DB!$D$4:$D$77=K34)),1),"SIZE N/A"))</f>
        <v/>
      </c>
      <c r="K34" s="50">
        <f>IF(R34="""","""",IF(R34&lt;=PARAMETERS!$C$13/PARAMETERS!$C$17,6,IF(R34&lt;=PARAMETERS!$C$14/PARAMETERS!$C$17,10,IF(R34&lt;=PARAMETERS!$C$15/PARAMETERS!$C$17,16,20))))</f>
        <v/>
      </c>
      <c r="L34" s="50">
        <f>IF(K34="""","""",IF(K34=6,"PN - 6",IF(K34=10,"PN - 10",IF(K34=16,"PN - 16","PN - 20"))))</f>
        <v/>
      </c>
      <c r="M34" s="45">
        <f>IF(OR(J34="""",J34="SIZE N/A",NOT(ISNUMBER(J34))),"""",IFERROR(SUMPRODUCT((PIPE_DB!$B$4:$B$77=J34)*(PIPE_DB!$D$4:$D$77=K34)*PIPE_DB!$E$4:$E$77),0))</f>
        <v/>
      </c>
      <c r="N34" s="51">
        <f>IF(OR(G34&lt;=0,M34="""",NOT(ISNUMBER(M34))),"""",IFERROR(4*(G34/1000)/(PI()*(M34/1000)^2),0))</f>
        <v/>
      </c>
      <c r="O34" s="51">
        <f>IF(OR(G34&lt;=0,M34="""",NOT(ISNUMBER(M34))),"""",IFERROR(10.67*C34*(G34/1000)^1.852/(PARAMETERS!$C$5^1.852*(M34/1000)^4.87),0))</f>
        <v/>
      </c>
      <c r="P34" s="51">
        <f>IF(O34="""","""",IFERROR(PARAMETERS!$C$10*O34,0))</f>
        <v/>
      </c>
      <c r="Q34" s="51">
        <f>IF(O34="""","""",IFERROR(O34+P34,0))</f>
        <v/>
      </c>
      <c r="R34" s="48">
        <f>IF(OR(D34="",E34=""),"",IFERROR($E$12-MIN(D34,E34),0))</f>
        <v/>
      </c>
      <c r="S34" s="50">
        <f>IF(J34="""","""",IF(J34="SIZE N/A","⚠ SIZE N/A",IF(N34="""","""",IF(AND(N34&gt;=PARAMETERS!$C$6,N34&lt;=PARAMETERS!$C$7,IFERROR($E$12-E34,0)&gt;=PARAMETERS!$C$21),"✓ OK",IF(N34&lt;PARAMETERS!$C$6,"⚠ LOW VELOCITY",IF(N34&gt;PARAMETERS!$C$7,"⚠ HIGH VELOCITY","⚠ LOW PRESSURE"))))))</f>
        <v/>
      </c>
    </row>
    <row r="35" ht="20" customHeight="1">
      <c r="A35" s="52" t="inlineStr">
        <is>
          <t>TOTALS</t>
        </is>
      </c>
      <c r="B35" s="53" t="n"/>
      <c r="C35" s="54">
        <f>IFERROR(SUM(C23:C34),0)</f>
        <v/>
      </c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4">
        <f>IFERROR(SUM(O23:O34),0)</f>
        <v/>
      </c>
      <c r="P35" s="54">
        <f>IFERROR(SUM(P23:P34),0)</f>
        <v/>
      </c>
      <c r="Q35" s="54">
        <f>IFERROR(SUM(Q23:Q34),0)</f>
        <v/>
      </c>
      <c r="R35" s="53" t="n"/>
      <c r="S35" s="53" t="n"/>
    </row>
    <row r="36" ht="8" customHeight="1"/>
    <row r="37" ht="18" customHeight="1">
      <c r="A37" s="3" t="inlineStr">
        <is>
          <t>SECTION 4 — TOTAL DYNAMIC HEAD SUMMARY</t>
        </is>
      </c>
    </row>
    <row r="38" ht="20" customHeight="1">
      <c r="A38" s="40" t="inlineStr">
        <is>
          <t>1.  Static Head  (Reservoir HWL – Pumping WL Elevation)</t>
        </is>
      </c>
      <c r="E38" s="41">
        <f>IFERROR(E12-(E5-E7),0)</f>
        <v/>
      </c>
      <c r="F38" s="37" t="inlineStr">
        <is>
          <t>m</t>
        </is>
      </c>
    </row>
    <row r="39" ht="20" customHeight="1">
      <c r="A39" s="40" t="inlineStr">
        <is>
          <t>2.  Total Pipeline Friction Losses</t>
        </is>
      </c>
      <c r="E39" s="41">
        <f>IFERROR(SUM(O23:O34),0)</f>
        <v/>
      </c>
      <c r="F39" s="37" t="inlineStr">
        <is>
          <t>m</t>
        </is>
      </c>
    </row>
    <row r="40" ht="20" customHeight="1">
      <c r="A40" s="40" t="inlineStr">
        <is>
          <t>3.  Total Minor Losses  (fittings, bends, valves, entrance &amp; exit)</t>
        </is>
      </c>
      <c r="E40" s="41">
        <f>IFERROR(SUM(P23:P34),0)</f>
        <v/>
      </c>
      <c r="F40" s="37" t="inlineStr">
        <is>
          <t>m</t>
        </is>
      </c>
    </row>
    <row r="41" ht="20" customHeight="1">
      <c r="A41" s="40" t="inlineStr">
        <is>
          <t>4.  Velocity Head at Discharge  (V²/2g, last active segment)</t>
        </is>
      </c>
      <c r="E41" s="41">
        <f>IFERROR(LOOKUP(2,1/(G23:G34&gt;0),N23:N34)^2/(2*9.81),0)</f>
        <v/>
      </c>
      <c r="F41" s="37" t="inlineStr">
        <is>
          <t>m</t>
        </is>
      </c>
    </row>
    <row r="42" ht="10" customHeight="1"/>
    <row r="43" ht="32" customHeight="1">
      <c r="A43" s="55" t="inlineStr">
        <is>
          <t>TOTAL DYNAMIC HEAD  (TDH)</t>
        </is>
      </c>
      <c r="E43" s="56">
        <f>IFERROR(E38+E39+E40+E41,0)</f>
        <v/>
      </c>
      <c r="F43" s="57" t="inlineStr">
        <is>
          <t>m</t>
        </is>
      </c>
    </row>
    <row r="44" ht="10" customHeight="1"/>
    <row r="45" ht="18" customHeight="1">
      <c r="A45" s="3" t="inlineStr">
        <is>
          <t>SECTION 5 — PUMP REQUIREMENTS</t>
        </is>
      </c>
    </row>
    <row r="46" ht="18" customHeight="1">
      <c r="A46" s="40" t="inlineStr">
        <is>
          <t>Design Flow Rate</t>
        </is>
      </c>
      <c r="E46" s="10">
        <f>E9</f>
        <v/>
      </c>
      <c r="F46" s="37" t="inlineStr">
        <is>
          <t>L/s</t>
        </is>
      </c>
    </row>
    <row r="47" ht="18" customHeight="1">
      <c r="A47" s="40" t="inlineStr">
        <is>
          <t>Total Dynamic Head  (TDH)</t>
        </is>
      </c>
      <c r="E47" s="10">
        <f>E43</f>
        <v/>
      </c>
      <c r="F47" s="37" t="inlineStr">
        <is>
          <t>m</t>
        </is>
      </c>
    </row>
    <row r="48" ht="18" customHeight="1">
      <c r="A48" s="40" t="inlineStr">
        <is>
          <t>Pump Efficiency  η_pump</t>
        </is>
      </c>
      <c r="E48" s="23" t="n">
        <v>0.65</v>
      </c>
      <c r="F48" s="37" t="inlineStr">
        <is>
          <t>-</t>
        </is>
      </c>
    </row>
    <row r="49" ht="18" customHeight="1">
      <c r="A49" s="40" t="inlineStr">
        <is>
          <t>Motor Efficiency  η_motor</t>
        </is>
      </c>
      <c r="E49" s="23" t="n">
        <v>0.9</v>
      </c>
      <c r="F49" s="37" t="inlineStr">
        <is>
          <t>-</t>
        </is>
      </c>
    </row>
    <row r="50" ht="18" customHeight="1">
      <c r="A50" s="40" t="inlineStr">
        <is>
          <t>Hydraulic Power  P_hyd = ρgQH/1000</t>
        </is>
      </c>
      <c r="E50" s="10">
        <f>IFERROR(9.81*E46/1000*E47,0)</f>
        <v/>
      </c>
      <c r="F50" s="37" t="inlineStr">
        <is>
          <t>kW</t>
        </is>
      </c>
    </row>
    <row r="51" ht="18" customHeight="1">
      <c r="A51" s="40" t="inlineStr">
        <is>
          <t>Motor / Input Power  P_motor = P_hyd / (η_pump × η_motor)</t>
        </is>
      </c>
      <c r="E51" s="10">
        <f>IFERROR(E50/(E48*E49),0)</f>
        <v/>
      </c>
      <c r="F51" s="37" t="inlineStr">
        <is>
          <t>kW</t>
        </is>
      </c>
    </row>
    <row r="52" ht="18" customHeight="1">
      <c r="A52" s="40" t="inlineStr">
        <is>
          <t>Daily Volume Supplied  (at design flow × pump hours)</t>
        </is>
      </c>
      <c r="E52" s="39">
        <f>IFERROR(E46/1000*3600*E10,0)</f>
        <v/>
      </c>
      <c r="F52" s="37" t="inlineStr">
        <is>
          <t>m³/day</t>
        </is>
      </c>
    </row>
  </sheetData>
  <mergeCells count="42">
    <mergeCell ref="G5:S5"/>
    <mergeCell ref="A5:D5"/>
    <mergeCell ref="A17:D17"/>
    <mergeCell ref="A8:D8"/>
    <mergeCell ref="A38:D38"/>
    <mergeCell ref="A52:D52"/>
    <mergeCell ref="A43:D43"/>
    <mergeCell ref="A4:S4"/>
    <mergeCell ref="A10:D10"/>
    <mergeCell ref="A20:S20"/>
    <mergeCell ref="A13:D13"/>
    <mergeCell ref="A40:D40"/>
    <mergeCell ref="A9:D9"/>
    <mergeCell ref="G9:S9"/>
    <mergeCell ref="A48:D48"/>
    <mergeCell ref="A39:D39"/>
    <mergeCell ref="G12:S12"/>
    <mergeCell ref="A11:D11"/>
    <mergeCell ref="A49:D49"/>
    <mergeCell ref="A51:D51"/>
    <mergeCell ref="G11:S11"/>
    <mergeCell ref="A15:S15"/>
    <mergeCell ref="A6:D6"/>
    <mergeCell ref="A45:S45"/>
    <mergeCell ref="A1:S1"/>
    <mergeCell ref="G8:S8"/>
    <mergeCell ref="A7:D7"/>
    <mergeCell ref="A41:D41"/>
    <mergeCell ref="A16:D16"/>
    <mergeCell ref="G7:S7"/>
    <mergeCell ref="A46:D46"/>
    <mergeCell ref="A35:B35"/>
    <mergeCell ref="G10:S10"/>
    <mergeCell ref="A18:D18"/>
    <mergeCell ref="G6:S6"/>
    <mergeCell ref="G13:S13"/>
    <mergeCell ref="A37:S37"/>
    <mergeCell ref="A12:D12"/>
    <mergeCell ref="A50:D50"/>
    <mergeCell ref="A21:S21"/>
    <mergeCell ref="A47:D47"/>
    <mergeCell ref="A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V42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9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2" customWidth="1" min="17" max="17"/>
    <col width="11" customWidth="1" min="18" max="18"/>
    <col width="11" customWidth="1" min="19" max="19"/>
    <col width="12" customWidth="1" min="20" max="20"/>
    <col width="11" customWidth="1" min="21" max="21"/>
    <col width="16" customWidth="1" min="22" max="22"/>
  </cols>
  <sheetData>
    <row r="1" ht="30" customHeight="1">
      <c r="A1" s="19" t="inlineStr">
        <is>
          <t>TRANSMISSION MAIN PIPE SIZING  —  Hazen-Williams Method</t>
        </is>
      </c>
    </row>
    <row r="2" ht="18" customHeight="1">
      <c r="A2" s="36" t="inlineStr">
        <is>
          <t>HDPE PE100  |  Auto Pipe OD &amp; Pressure Rating (PN) Selection  |  Uganda WSS DM 2nd Ed.</t>
        </is>
      </c>
    </row>
    <row r="3" ht="8" customHeight="1"/>
    <row r="4" ht="18" customHeight="1">
      <c r="A4" s="3" t="inlineStr">
        <is>
          <t>DESIGN BASIS</t>
        </is>
      </c>
    </row>
    <row r="5" ht="18" customHeight="1">
      <c r="A5" s="4" t="inlineStr">
        <is>
          <t>Source Description  (e.g. Borehole BH-1 / Production Well)</t>
        </is>
      </c>
      <c r="E5" s="5" t="n"/>
      <c r="F5" s="37" t="inlineStr"/>
    </row>
    <row r="6" ht="18" customHeight="1">
      <c r="A6" s="4" t="inlineStr">
        <is>
          <t>Destination Description  (e.g. Service Reservoir SR-1)</t>
        </is>
      </c>
      <c r="E6" s="5" t="n"/>
      <c r="F6" s="37" t="inlineStr"/>
    </row>
    <row r="7" ht="18" customHeight="1">
      <c r="A7" s="4" t="inlineStr">
        <is>
          <t>Total Design Flow  Q</t>
        </is>
      </c>
      <c r="E7" s="5" t="n"/>
      <c r="F7" s="37" t="inlineStr">
        <is>
          <t>L/s</t>
        </is>
      </c>
      <c r="G7" s="38" t="inlineStr">
        <is>
          <t>Pump design capacity</t>
        </is>
      </c>
    </row>
    <row r="8" ht="18" customHeight="1">
      <c r="A8" s="4" t="inlineStr">
        <is>
          <t>HGL at Supply Point</t>
        </is>
      </c>
      <c r="E8" s="5" t="n"/>
      <c r="F8" s="37" t="inlineStr">
        <is>
          <t>m ASL</t>
        </is>
      </c>
      <c r="G8" s="38" t="inlineStr">
        <is>
          <t>Pumped: enter pump TDH + dynamic WL elevation (from TDH_CALC).  Gravity: enter reservoir HWL.</t>
        </is>
      </c>
    </row>
    <row r="9" ht="18" customHeight="1">
      <c r="A9" s="4" t="inlineStr">
        <is>
          <t>Allowable Head Loss Gradient</t>
        </is>
      </c>
      <c r="E9" s="10">
        <f>PARAMETERS!$C$22</f>
        <v/>
      </c>
      <c r="F9" s="37" t="inlineStr">
        <is>
          <t>m/km</t>
        </is>
      </c>
      <c r="G9" s="38" t="inlineStr">
        <is>
          <t>From PARAMETERS — override if needed</t>
        </is>
      </c>
    </row>
    <row r="10" ht="18" customHeight="1">
      <c r="A10" s="4" t="inlineStr">
        <is>
          <t>Min. Residual Head at Destination</t>
        </is>
      </c>
      <c r="E10" s="10">
        <f>PARAMETERS!$C$21</f>
        <v/>
      </c>
      <c r="F10" s="37" t="inlineStr">
        <is>
          <t>m</t>
        </is>
      </c>
      <c r="G10" s="38" t="inlineStr">
        <is>
          <t>From PARAMETERS — override if needed</t>
        </is>
      </c>
    </row>
    <row r="11" ht="8" customHeight="1"/>
    <row r="12" ht="54" customHeight="1">
      <c r="A12" s="42" t="inlineStr">
        <is>
          <t>ℹ  HOW TO USE:  (1) Enter segment data below — From/To Node names, Length, Elevations, and Flow Q.  (2) OD and PN Rating auto-selected via AGGREGATE formula from PIPE_DB — no manual lookup needed.  (3) HGL chains automatically: Segment 1 start = Supply HGL above; each subsequent start = previous end (col T).  (4) BRANCHES: override HGL Start (col I) by typing =T{upstream_row} to link to the branch junction.  (5) Adjust Flow Q where flow changes (e.g. at a distribution offtake).  (6) Resize pipe by changing the Allowable S in the Design Basis above.</t>
        </is>
      </c>
    </row>
    <row r="13" ht="8" customHeight="1"/>
    <row r="14" ht="18" customHeight="1">
      <c r="A14" s="3" t="inlineStr">
        <is>
          <t>STATUS KEY:</t>
        </is>
      </c>
      <c r="E14" s="58" t="inlineStr">
        <is>
          <t>✓ OK</t>
        </is>
      </c>
      <c r="F14" s="59" t="inlineStr">
        <is>
          <t>⚠ LOW VELOCITY</t>
        </is>
      </c>
      <c r="G14" s="60" t="inlineStr">
        <is>
          <t>⚠ HIGH VELOCITY</t>
        </is>
      </c>
      <c r="H14" s="60" t="inlineStr">
        <is>
          <t>⚠ LOW PRESSURE</t>
        </is>
      </c>
      <c r="I14" s="60" t="inlineStr">
        <is>
          <t>⚠ SIZE N/A</t>
        </is>
      </c>
    </row>
    <row r="15" ht="42" customHeight="1">
      <c r="A15" s="8" t="inlineStr">
        <is>
          <t>#</t>
        </is>
      </c>
      <c r="B15" s="8" t="inlineStr">
        <is>
          <t>From
Node</t>
        </is>
      </c>
      <c r="C15" s="8" t="inlineStr">
        <is>
          <t>To
Node</t>
        </is>
      </c>
      <c r="D15" s="8" t="inlineStr">
        <is>
          <t>Length
(m)</t>
        </is>
      </c>
      <c r="E15" s="8" t="inlineStr">
        <is>
          <t>From Elev
(m ASL)</t>
        </is>
      </c>
      <c r="F15" s="8" t="inlineStr">
        <is>
          <t>To Elev
(m ASL)</t>
        </is>
      </c>
      <c r="G15" s="8" t="inlineStr">
        <is>
          <t>ΔElev
(m)</t>
        </is>
      </c>
      <c r="H15" s="8" t="inlineStr">
        <is>
          <t>Flow Q
(L/s)</t>
        </is>
      </c>
      <c r="I15" s="8" t="inlineStr">
        <is>
          <t>HGL Start
(m ASL)</t>
        </is>
      </c>
      <c r="J15" s="8" t="inlineStr">
        <is>
          <t>Max Working
Pressure (m)</t>
        </is>
      </c>
      <c r="K15" s="8" t="inlineStr">
        <is>
          <t>Auto
PN Num</t>
        </is>
      </c>
      <c r="L15" s="8" t="inlineStr">
        <is>
          <t>Auto
PN Rating</t>
        </is>
      </c>
      <c r="M15" s="8" t="inlineStr">
        <is>
          <t>Min D_req
(mm)</t>
        </is>
      </c>
      <c r="N15" s="8" t="inlineStr">
        <is>
          <t>Auto OD
(mm)</t>
        </is>
      </c>
      <c r="O15" s="8" t="inlineStr">
        <is>
          <t>Actual ID
(mm)</t>
        </is>
      </c>
      <c r="P15" s="8" t="inlineStr">
        <is>
          <t>Velocity
(m/s)</t>
        </is>
      </c>
      <c r="Q15" s="8" t="inlineStr">
        <is>
          <t>Friction
hf (m)</t>
        </is>
      </c>
      <c r="R15" s="8" t="inlineStr">
        <is>
          <t>Minor
Loss (m)</t>
        </is>
      </c>
      <c r="S15" s="8" t="inlineStr">
        <is>
          <t>Total
Loss (m)</t>
        </is>
      </c>
      <c r="T15" s="8" t="inlineStr">
        <is>
          <t>HGL End
(m ASL)</t>
        </is>
      </c>
      <c r="U15" s="8" t="inlineStr">
        <is>
          <t>Pressure
at End (m)</t>
        </is>
      </c>
      <c r="V15" s="8" t="inlineStr">
        <is>
          <t>Status</t>
        </is>
      </c>
    </row>
    <row r="16" ht="18" customHeight="1">
      <c r="A16" s="43" t="n">
        <v>1</v>
      </c>
      <c r="B16" s="5" t="n"/>
      <c r="C16" s="5" t="n"/>
      <c r="D16" s="44" t="n"/>
      <c r="E16" s="23" t="n"/>
      <c r="F16" s="23" t="n"/>
      <c r="G16" s="45">
        <f>IF(OR(E16="",F16=""),"",F16-E16)</f>
        <v/>
      </c>
      <c r="H16" s="46" t="inlineStr">
        <is>
          <t>$E$7</t>
        </is>
      </c>
      <c r="I16" s="10">
        <f>$E$8</f>
        <v/>
      </c>
      <c r="J16" s="61">
        <f>IF(OR(E16="",I16=""),"",IFERROR(I16-MIN(E16,F16),0))</f>
        <v/>
      </c>
      <c r="K16" s="50">
        <f>IF(J16="""","""",IF(J16&lt;=PARAMETERS!$C$13/PARAMETERS!$C$17,6,IF(J16&lt;=PARAMETERS!$C$14/PARAMETERS!$C$17,10,IF(J16&lt;=PARAMETERS!$C$15/PARAMETERS!$C$17,16,20))))</f>
        <v/>
      </c>
      <c r="L16" s="50">
        <f>IF(K16="""","""",IF(K16=6,"PN - 6",IF(K16=10,"PN - 10",IF(K16=16,"PN - 16","PN - 20"))))</f>
        <v/>
      </c>
      <c r="M16" s="61">
        <f>IF(H16&lt;=0,"""",IFERROR(MAX(1000*((10.67*(H16/1000)^1.852)/(PARAMETERS!$C$5^1.852*($E$9/1000)))^(1/4.87),1000*SQRT(4*(H16/1000)/(PI()*PARAMETERS!$C$7))),0))</f>
        <v/>
      </c>
      <c r="N16" s="49">
        <f>IF(OR(H16&lt;=0,M16=""""),"""",IFERROR(AGGREGATE(15,6,PIPE_DB!$B$4:$B$77/((PIPE_DB!$E$4:$E$77&gt;=M16)*(PIPE_DB!$D$4:$D$77=K16)),1),"SIZE N/A"))</f>
        <v/>
      </c>
      <c r="O16" s="45">
        <f>IF(OR(N16="""",N16="SIZE N/A",NOT(ISNUMBER(N16))),"""",IFERROR(SUMPRODUCT((PIPE_DB!$B$4:$B$77=N16)*(PIPE_DB!$D$4:$D$77=K16)*PIPE_DB!$E$4:$E$77),0))</f>
        <v/>
      </c>
      <c r="P16" s="51">
        <f>IF(OR(H16&lt;=0,O16="""",NOT(ISNUMBER(O16))),"""",IFERROR(4*(H16/1000)/(PI()*(O16/1000)^2),0))</f>
        <v/>
      </c>
      <c r="Q16" s="51">
        <f>IF(OR(H16&lt;=0,O16="""",NOT(ISNUMBER(O16))),"""",IFERROR(10.67*D16*(H16/1000)^1.852/(PARAMETERS!$C$5^1.852*(O16/1000)^4.87),0))</f>
        <v/>
      </c>
      <c r="R16" s="51">
        <f>IF(Q16="""","""",IFERROR(PARAMETERS!$C$10*Q16,0))</f>
        <v/>
      </c>
      <c r="S16" s="51">
        <f>IF(Q16="""","""",IFERROR(Q16+R16,0))</f>
        <v/>
      </c>
      <c r="T16" s="10">
        <f>IF(OR(I16="""",S16=""""),"""",IFERROR(I16-S16,0))</f>
        <v/>
      </c>
      <c r="U16" s="45">
        <f>IF(T16="""","""",IFERROR(T16-F16,0))</f>
        <v/>
      </c>
      <c r="V16" s="50">
        <f>IF(N16="""","""",IF(N16="SIZE N/A","⚠ SIZE N/A",IF(P16="""","""",IF(AND(P16&gt;=PARAMETERS!$C$6,P16&lt;=PARAMETERS!$C$7,U16&gt;=PARAMETERS!$C$21),"✓ OK",IF(P16&lt;PARAMETERS!$C$6,"⚠ LOW VELOCITY",IF(P16&gt;PARAMETERS!$C$7,"⚠ HIGH VELOCITY","⚠ LOW PRESSURE"))))))</f>
        <v/>
      </c>
    </row>
    <row r="17" ht="18" customHeight="1">
      <c r="A17" s="43" t="n">
        <v>2</v>
      </c>
      <c r="B17" s="5" t="n"/>
      <c r="C17" s="5" t="n"/>
      <c r="D17" s="44" t="n"/>
      <c r="E17" s="23" t="n"/>
      <c r="F17" s="23" t="n"/>
      <c r="G17" s="45">
        <f>IF(OR(E17="",F17=""),"",F17-E17)</f>
        <v/>
      </c>
      <c r="H17" s="23" t="n"/>
      <c r="I17" s="10">
        <f>IFERROR(T16,"")</f>
        <v/>
      </c>
      <c r="J17" s="61">
        <f>IF(OR(E17="",I17=""),"",IFERROR(I17-MIN(E17,F17),0))</f>
        <v/>
      </c>
      <c r="K17" s="50">
        <f>IF(J17="""","""",IF(J17&lt;=PARAMETERS!$C$13/PARAMETERS!$C$17,6,IF(J17&lt;=PARAMETERS!$C$14/PARAMETERS!$C$17,10,IF(J17&lt;=PARAMETERS!$C$15/PARAMETERS!$C$17,16,20))))</f>
        <v/>
      </c>
      <c r="L17" s="50">
        <f>IF(K17="""","""",IF(K17=6,"PN - 6",IF(K17=10,"PN - 10",IF(K17=16,"PN - 16","PN - 20"))))</f>
        <v/>
      </c>
      <c r="M17" s="61">
        <f>IF(H17&lt;=0,"""",IFERROR(MAX(1000*((10.67*(H17/1000)^1.852)/(PARAMETERS!$C$5^1.852*($E$9/1000)))^(1/4.87),1000*SQRT(4*(H17/1000)/(PI()*PARAMETERS!$C$7))),0))</f>
        <v/>
      </c>
      <c r="N17" s="49">
        <f>IF(OR(H17&lt;=0,M17=""""),"""",IFERROR(AGGREGATE(15,6,PIPE_DB!$B$4:$B$77/((PIPE_DB!$E$4:$E$77&gt;=M17)*(PIPE_DB!$D$4:$D$77=K17)),1),"SIZE N/A"))</f>
        <v/>
      </c>
      <c r="O17" s="45">
        <f>IF(OR(N17="""",N17="SIZE N/A",NOT(ISNUMBER(N17))),"""",IFERROR(SUMPRODUCT((PIPE_DB!$B$4:$B$77=N17)*(PIPE_DB!$D$4:$D$77=K17)*PIPE_DB!$E$4:$E$77),0))</f>
        <v/>
      </c>
      <c r="P17" s="51">
        <f>IF(OR(H17&lt;=0,O17="""",NOT(ISNUMBER(O17))),"""",IFERROR(4*(H17/1000)/(PI()*(O17/1000)^2),0))</f>
        <v/>
      </c>
      <c r="Q17" s="51">
        <f>IF(OR(H17&lt;=0,O17="""",NOT(ISNUMBER(O17))),"""",IFERROR(10.67*D17*(H17/1000)^1.852/(PARAMETERS!$C$5^1.852*(O17/1000)^4.87),0))</f>
        <v/>
      </c>
      <c r="R17" s="51">
        <f>IF(Q17="""","""",IFERROR(PARAMETERS!$C$10*Q17,0))</f>
        <v/>
      </c>
      <c r="S17" s="51">
        <f>IF(Q17="""","""",IFERROR(Q17+R17,0))</f>
        <v/>
      </c>
      <c r="T17" s="10">
        <f>IF(OR(I17="""",S17=""""),"""",IFERROR(I17-S17,0))</f>
        <v/>
      </c>
      <c r="U17" s="45">
        <f>IF(T17="""","""",IFERROR(T17-F17,0))</f>
        <v/>
      </c>
      <c r="V17" s="50">
        <f>IF(N17="""","""",IF(N17="SIZE N/A","⚠ SIZE N/A",IF(P17="""","""",IF(AND(P17&gt;=PARAMETERS!$C$6,P17&lt;=PARAMETERS!$C$7,U17&gt;=PARAMETERS!$C$21),"✓ OK",IF(P17&lt;PARAMETERS!$C$6,"⚠ LOW VELOCITY",IF(P17&gt;PARAMETERS!$C$7,"⚠ HIGH VELOCITY","⚠ LOW PRESSURE"))))))</f>
        <v/>
      </c>
    </row>
    <row r="18" ht="18" customHeight="1">
      <c r="A18" s="43" t="n">
        <v>3</v>
      </c>
      <c r="B18" s="5" t="n"/>
      <c r="C18" s="5" t="n"/>
      <c r="D18" s="44" t="n"/>
      <c r="E18" s="23" t="n"/>
      <c r="F18" s="23" t="n"/>
      <c r="G18" s="45">
        <f>IF(OR(E18="",F18=""),"",F18-E18)</f>
        <v/>
      </c>
      <c r="H18" s="23" t="n"/>
      <c r="I18" s="10">
        <f>IFERROR(T17,"")</f>
        <v/>
      </c>
      <c r="J18" s="61">
        <f>IF(OR(E18="",I18=""),"",IFERROR(I18-MIN(E18,F18),0))</f>
        <v/>
      </c>
      <c r="K18" s="50">
        <f>IF(J18="""","""",IF(J18&lt;=PARAMETERS!$C$13/PARAMETERS!$C$17,6,IF(J18&lt;=PARAMETERS!$C$14/PARAMETERS!$C$17,10,IF(J18&lt;=PARAMETERS!$C$15/PARAMETERS!$C$17,16,20))))</f>
        <v/>
      </c>
      <c r="L18" s="50">
        <f>IF(K18="""","""",IF(K18=6,"PN - 6",IF(K18=10,"PN - 10",IF(K18=16,"PN - 16","PN - 20"))))</f>
        <v/>
      </c>
      <c r="M18" s="61">
        <f>IF(H18&lt;=0,"""",IFERROR(MAX(1000*((10.67*(H18/1000)^1.852)/(PARAMETERS!$C$5^1.852*($E$9/1000)))^(1/4.87),1000*SQRT(4*(H18/1000)/(PI()*PARAMETERS!$C$7))),0))</f>
        <v/>
      </c>
      <c r="N18" s="49">
        <f>IF(OR(H18&lt;=0,M18=""""),"""",IFERROR(AGGREGATE(15,6,PIPE_DB!$B$4:$B$77/((PIPE_DB!$E$4:$E$77&gt;=M18)*(PIPE_DB!$D$4:$D$77=K18)),1),"SIZE N/A"))</f>
        <v/>
      </c>
      <c r="O18" s="45">
        <f>IF(OR(N18="""",N18="SIZE N/A",NOT(ISNUMBER(N18))),"""",IFERROR(SUMPRODUCT((PIPE_DB!$B$4:$B$77=N18)*(PIPE_DB!$D$4:$D$77=K18)*PIPE_DB!$E$4:$E$77),0))</f>
        <v/>
      </c>
      <c r="P18" s="51">
        <f>IF(OR(H18&lt;=0,O18="""",NOT(ISNUMBER(O18))),"""",IFERROR(4*(H18/1000)/(PI()*(O18/1000)^2),0))</f>
        <v/>
      </c>
      <c r="Q18" s="51">
        <f>IF(OR(H18&lt;=0,O18="""",NOT(ISNUMBER(O18))),"""",IFERROR(10.67*D18*(H18/1000)^1.852/(PARAMETERS!$C$5^1.852*(O18/1000)^4.87),0))</f>
        <v/>
      </c>
      <c r="R18" s="51">
        <f>IF(Q18="""","""",IFERROR(PARAMETERS!$C$10*Q18,0))</f>
        <v/>
      </c>
      <c r="S18" s="51">
        <f>IF(Q18="""","""",IFERROR(Q18+R18,0))</f>
        <v/>
      </c>
      <c r="T18" s="10">
        <f>IF(OR(I18="""",S18=""""),"""",IFERROR(I18-S18,0))</f>
        <v/>
      </c>
      <c r="U18" s="45">
        <f>IF(T18="""","""",IFERROR(T18-F18,0))</f>
        <v/>
      </c>
      <c r="V18" s="50">
        <f>IF(N18="""","""",IF(N18="SIZE N/A","⚠ SIZE N/A",IF(P18="""","""",IF(AND(P18&gt;=PARAMETERS!$C$6,P18&lt;=PARAMETERS!$C$7,U18&gt;=PARAMETERS!$C$21),"✓ OK",IF(P18&lt;PARAMETERS!$C$6,"⚠ LOW VELOCITY",IF(P18&gt;PARAMETERS!$C$7,"⚠ HIGH VELOCITY","⚠ LOW PRESSURE"))))))</f>
        <v/>
      </c>
    </row>
    <row r="19" ht="18" customHeight="1">
      <c r="A19" s="43" t="n">
        <v>4</v>
      </c>
      <c r="B19" s="5" t="n"/>
      <c r="C19" s="5" t="n"/>
      <c r="D19" s="44" t="n"/>
      <c r="E19" s="23" t="n"/>
      <c r="F19" s="23" t="n"/>
      <c r="G19" s="45">
        <f>IF(OR(E19="",F19=""),"",F19-E19)</f>
        <v/>
      </c>
      <c r="H19" s="23" t="n"/>
      <c r="I19" s="10">
        <f>IFERROR(T18,"")</f>
        <v/>
      </c>
      <c r="J19" s="61">
        <f>IF(OR(E19="",I19=""),"",IFERROR(I19-MIN(E19,F19),0))</f>
        <v/>
      </c>
      <c r="K19" s="50">
        <f>IF(J19="""","""",IF(J19&lt;=PARAMETERS!$C$13/PARAMETERS!$C$17,6,IF(J19&lt;=PARAMETERS!$C$14/PARAMETERS!$C$17,10,IF(J19&lt;=PARAMETERS!$C$15/PARAMETERS!$C$17,16,20))))</f>
        <v/>
      </c>
      <c r="L19" s="50">
        <f>IF(K19="""","""",IF(K19=6,"PN - 6",IF(K19=10,"PN - 10",IF(K19=16,"PN - 16","PN - 20"))))</f>
        <v/>
      </c>
      <c r="M19" s="61">
        <f>IF(H19&lt;=0,"""",IFERROR(MAX(1000*((10.67*(H19/1000)^1.852)/(PARAMETERS!$C$5^1.852*($E$9/1000)))^(1/4.87),1000*SQRT(4*(H19/1000)/(PI()*PARAMETERS!$C$7))),0))</f>
        <v/>
      </c>
      <c r="N19" s="49">
        <f>IF(OR(H19&lt;=0,M19=""""),"""",IFERROR(AGGREGATE(15,6,PIPE_DB!$B$4:$B$77/((PIPE_DB!$E$4:$E$77&gt;=M19)*(PIPE_DB!$D$4:$D$77=K19)),1),"SIZE N/A"))</f>
        <v/>
      </c>
      <c r="O19" s="45">
        <f>IF(OR(N19="""",N19="SIZE N/A",NOT(ISNUMBER(N19))),"""",IFERROR(SUMPRODUCT((PIPE_DB!$B$4:$B$77=N19)*(PIPE_DB!$D$4:$D$77=K19)*PIPE_DB!$E$4:$E$77),0))</f>
        <v/>
      </c>
      <c r="P19" s="51">
        <f>IF(OR(H19&lt;=0,O19="""",NOT(ISNUMBER(O19))),"""",IFERROR(4*(H19/1000)/(PI()*(O19/1000)^2),0))</f>
        <v/>
      </c>
      <c r="Q19" s="51">
        <f>IF(OR(H19&lt;=0,O19="""",NOT(ISNUMBER(O19))),"""",IFERROR(10.67*D19*(H19/1000)^1.852/(PARAMETERS!$C$5^1.852*(O19/1000)^4.87),0))</f>
        <v/>
      </c>
      <c r="R19" s="51">
        <f>IF(Q19="""","""",IFERROR(PARAMETERS!$C$10*Q19,0))</f>
        <v/>
      </c>
      <c r="S19" s="51">
        <f>IF(Q19="""","""",IFERROR(Q19+R19,0))</f>
        <v/>
      </c>
      <c r="T19" s="10">
        <f>IF(OR(I19="""",S19=""""),"""",IFERROR(I19-S19,0))</f>
        <v/>
      </c>
      <c r="U19" s="45">
        <f>IF(T19="""","""",IFERROR(T19-F19,0))</f>
        <v/>
      </c>
      <c r="V19" s="50">
        <f>IF(N19="""","""",IF(N19="SIZE N/A","⚠ SIZE N/A",IF(P19="""","""",IF(AND(P19&gt;=PARAMETERS!$C$6,P19&lt;=PARAMETERS!$C$7,U19&gt;=PARAMETERS!$C$21),"✓ OK",IF(P19&lt;PARAMETERS!$C$6,"⚠ LOW VELOCITY",IF(P19&gt;PARAMETERS!$C$7,"⚠ HIGH VELOCITY","⚠ LOW PRESSURE"))))))</f>
        <v/>
      </c>
    </row>
    <row r="20" ht="18" customHeight="1">
      <c r="A20" s="43" t="n">
        <v>5</v>
      </c>
      <c r="B20" s="5" t="n"/>
      <c r="C20" s="5" t="n"/>
      <c r="D20" s="44" t="n"/>
      <c r="E20" s="23" t="n"/>
      <c r="F20" s="23" t="n"/>
      <c r="G20" s="45">
        <f>IF(OR(E20="",F20=""),"",F20-E20)</f>
        <v/>
      </c>
      <c r="H20" s="23" t="n"/>
      <c r="I20" s="10">
        <f>IFERROR(T19,"")</f>
        <v/>
      </c>
      <c r="J20" s="61">
        <f>IF(OR(E20="",I20=""),"",IFERROR(I20-MIN(E20,F20),0))</f>
        <v/>
      </c>
      <c r="K20" s="50">
        <f>IF(J20="""","""",IF(J20&lt;=PARAMETERS!$C$13/PARAMETERS!$C$17,6,IF(J20&lt;=PARAMETERS!$C$14/PARAMETERS!$C$17,10,IF(J20&lt;=PARAMETERS!$C$15/PARAMETERS!$C$17,16,20))))</f>
        <v/>
      </c>
      <c r="L20" s="50">
        <f>IF(K20="""","""",IF(K20=6,"PN - 6",IF(K20=10,"PN - 10",IF(K20=16,"PN - 16","PN - 20"))))</f>
        <v/>
      </c>
      <c r="M20" s="61">
        <f>IF(H20&lt;=0,"""",IFERROR(MAX(1000*((10.67*(H20/1000)^1.852)/(PARAMETERS!$C$5^1.852*($E$9/1000)))^(1/4.87),1000*SQRT(4*(H20/1000)/(PI()*PARAMETERS!$C$7))),0))</f>
        <v/>
      </c>
      <c r="N20" s="49">
        <f>IF(OR(H20&lt;=0,M20=""""),"""",IFERROR(AGGREGATE(15,6,PIPE_DB!$B$4:$B$77/((PIPE_DB!$E$4:$E$77&gt;=M20)*(PIPE_DB!$D$4:$D$77=K20)),1),"SIZE N/A"))</f>
        <v/>
      </c>
      <c r="O20" s="45">
        <f>IF(OR(N20="""",N20="SIZE N/A",NOT(ISNUMBER(N20))),"""",IFERROR(SUMPRODUCT((PIPE_DB!$B$4:$B$77=N20)*(PIPE_DB!$D$4:$D$77=K20)*PIPE_DB!$E$4:$E$77),0))</f>
        <v/>
      </c>
      <c r="P20" s="51">
        <f>IF(OR(H20&lt;=0,O20="""",NOT(ISNUMBER(O20))),"""",IFERROR(4*(H20/1000)/(PI()*(O20/1000)^2),0))</f>
        <v/>
      </c>
      <c r="Q20" s="51">
        <f>IF(OR(H20&lt;=0,O20="""",NOT(ISNUMBER(O20))),"""",IFERROR(10.67*D20*(H20/1000)^1.852/(PARAMETERS!$C$5^1.852*(O20/1000)^4.87),0))</f>
        <v/>
      </c>
      <c r="R20" s="51">
        <f>IF(Q20="""","""",IFERROR(PARAMETERS!$C$10*Q20,0))</f>
        <v/>
      </c>
      <c r="S20" s="51">
        <f>IF(Q20="""","""",IFERROR(Q20+R20,0))</f>
        <v/>
      </c>
      <c r="T20" s="10">
        <f>IF(OR(I20="""",S20=""""),"""",IFERROR(I20-S20,0))</f>
        <v/>
      </c>
      <c r="U20" s="45">
        <f>IF(T20="""","""",IFERROR(T20-F20,0))</f>
        <v/>
      </c>
      <c r="V20" s="50">
        <f>IF(N20="""","""",IF(N20="SIZE N/A","⚠ SIZE N/A",IF(P20="""","""",IF(AND(P20&gt;=PARAMETERS!$C$6,P20&lt;=PARAMETERS!$C$7,U20&gt;=PARAMETERS!$C$21),"✓ OK",IF(P20&lt;PARAMETERS!$C$6,"⚠ LOW VELOCITY",IF(P20&gt;PARAMETERS!$C$7,"⚠ HIGH VELOCITY","⚠ LOW PRESSURE"))))))</f>
        <v/>
      </c>
    </row>
    <row r="21" ht="18" customHeight="1">
      <c r="A21" s="43" t="n">
        <v>6</v>
      </c>
      <c r="B21" s="5" t="n"/>
      <c r="C21" s="5" t="n"/>
      <c r="D21" s="44" t="n"/>
      <c r="E21" s="23" t="n"/>
      <c r="F21" s="23" t="n"/>
      <c r="G21" s="45">
        <f>IF(OR(E21="",F21=""),"",F21-E21)</f>
        <v/>
      </c>
      <c r="H21" s="23" t="n"/>
      <c r="I21" s="10">
        <f>IFERROR(T20,"")</f>
        <v/>
      </c>
      <c r="J21" s="61">
        <f>IF(OR(E21="",I21=""),"",IFERROR(I21-MIN(E21,F21),0))</f>
        <v/>
      </c>
      <c r="K21" s="50">
        <f>IF(J21="""","""",IF(J21&lt;=PARAMETERS!$C$13/PARAMETERS!$C$17,6,IF(J21&lt;=PARAMETERS!$C$14/PARAMETERS!$C$17,10,IF(J21&lt;=PARAMETERS!$C$15/PARAMETERS!$C$17,16,20))))</f>
        <v/>
      </c>
      <c r="L21" s="50">
        <f>IF(K21="""","""",IF(K21=6,"PN - 6",IF(K21=10,"PN - 10",IF(K21=16,"PN - 16","PN - 20"))))</f>
        <v/>
      </c>
      <c r="M21" s="61">
        <f>IF(H21&lt;=0,"""",IFERROR(MAX(1000*((10.67*(H21/1000)^1.852)/(PARAMETERS!$C$5^1.852*($E$9/1000)))^(1/4.87),1000*SQRT(4*(H21/1000)/(PI()*PARAMETERS!$C$7))),0))</f>
        <v/>
      </c>
      <c r="N21" s="49">
        <f>IF(OR(H21&lt;=0,M21=""""),"""",IFERROR(AGGREGATE(15,6,PIPE_DB!$B$4:$B$77/((PIPE_DB!$E$4:$E$77&gt;=M21)*(PIPE_DB!$D$4:$D$77=K21)),1),"SIZE N/A"))</f>
        <v/>
      </c>
      <c r="O21" s="45">
        <f>IF(OR(N21="""",N21="SIZE N/A",NOT(ISNUMBER(N21))),"""",IFERROR(SUMPRODUCT((PIPE_DB!$B$4:$B$77=N21)*(PIPE_DB!$D$4:$D$77=K21)*PIPE_DB!$E$4:$E$77),0))</f>
        <v/>
      </c>
      <c r="P21" s="51">
        <f>IF(OR(H21&lt;=0,O21="""",NOT(ISNUMBER(O21))),"""",IFERROR(4*(H21/1000)/(PI()*(O21/1000)^2),0))</f>
        <v/>
      </c>
      <c r="Q21" s="51">
        <f>IF(OR(H21&lt;=0,O21="""",NOT(ISNUMBER(O21))),"""",IFERROR(10.67*D21*(H21/1000)^1.852/(PARAMETERS!$C$5^1.852*(O21/1000)^4.87),0))</f>
        <v/>
      </c>
      <c r="R21" s="51">
        <f>IF(Q21="""","""",IFERROR(PARAMETERS!$C$10*Q21,0))</f>
        <v/>
      </c>
      <c r="S21" s="51">
        <f>IF(Q21="""","""",IFERROR(Q21+R21,0))</f>
        <v/>
      </c>
      <c r="T21" s="10">
        <f>IF(OR(I21="""",S21=""""),"""",IFERROR(I21-S21,0))</f>
        <v/>
      </c>
      <c r="U21" s="45">
        <f>IF(T21="""","""",IFERROR(T21-F21,0))</f>
        <v/>
      </c>
      <c r="V21" s="50">
        <f>IF(N21="""","""",IF(N21="SIZE N/A","⚠ SIZE N/A",IF(P21="""","""",IF(AND(P21&gt;=PARAMETERS!$C$6,P21&lt;=PARAMETERS!$C$7,U21&gt;=PARAMETERS!$C$21),"✓ OK",IF(P21&lt;PARAMETERS!$C$6,"⚠ LOW VELOCITY",IF(P21&gt;PARAMETERS!$C$7,"⚠ HIGH VELOCITY","⚠ LOW PRESSURE"))))))</f>
        <v/>
      </c>
    </row>
    <row r="22" ht="18" customHeight="1">
      <c r="A22" s="43" t="n">
        <v>7</v>
      </c>
      <c r="B22" s="5" t="n"/>
      <c r="C22" s="5" t="n"/>
      <c r="D22" s="44" t="n"/>
      <c r="E22" s="23" t="n"/>
      <c r="F22" s="23" t="n"/>
      <c r="G22" s="45">
        <f>IF(OR(E22="",F22=""),"",F22-E22)</f>
        <v/>
      </c>
      <c r="H22" s="23" t="n"/>
      <c r="I22" s="10">
        <f>IFERROR(T21,"")</f>
        <v/>
      </c>
      <c r="J22" s="61">
        <f>IF(OR(E22="",I22=""),"",IFERROR(I22-MIN(E22,F22),0))</f>
        <v/>
      </c>
      <c r="K22" s="50">
        <f>IF(J22="""","""",IF(J22&lt;=PARAMETERS!$C$13/PARAMETERS!$C$17,6,IF(J22&lt;=PARAMETERS!$C$14/PARAMETERS!$C$17,10,IF(J22&lt;=PARAMETERS!$C$15/PARAMETERS!$C$17,16,20))))</f>
        <v/>
      </c>
      <c r="L22" s="50">
        <f>IF(K22="""","""",IF(K22=6,"PN - 6",IF(K22=10,"PN - 10",IF(K22=16,"PN - 16","PN - 20"))))</f>
        <v/>
      </c>
      <c r="M22" s="61">
        <f>IF(H22&lt;=0,"""",IFERROR(MAX(1000*((10.67*(H22/1000)^1.852)/(PARAMETERS!$C$5^1.852*($E$9/1000)))^(1/4.87),1000*SQRT(4*(H22/1000)/(PI()*PARAMETERS!$C$7))),0))</f>
        <v/>
      </c>
      <c r="N22" s="49">
        <f>IF(OR(H22&lt;=0,M22=""""),"""",IFERROR(AGGREGATE(15,6,PIPE_DB!$B$4:$B$77/((PIPE_DB!$E$4:$E$77&gt;=M22)*(PIPE_DB!$D$4:$D$77=K22)),1),"SIZE N/A"))</f>
        <v/>
      </c>
      <c r="O22" s="45">
        <f>IF(OR(N22="""",N22="SIZE N/A",NOT(ISNUMBER(N22))),"""",IFERROR(SUMPRODUCT((PIPE_DB!$B$4:$B$77=N22)*(PIPE_DB!$D$4:$D$77=K22)*PIPE_DB!$E$4:$E$77),0))</f>
        <v/>
      </c>
      <c r="P22" s="51">
        <f>IF(OR(H22&lt;=0,O22="""",NOT(ISNUMBER(O22))),"""",IFERROR(4*(H22/1000)/(PI()*(O22/1000)^2),0))</f>
        <v/>
      </c>
      <c r="Q22" s="51">
        <f>IF(OR(H22&lt;=0,O22="""",NOT(ISNUMBER(O22))),"""",IFERROR(10.67*D22*(H22/1000)^1.852/(PARAMETERS!$C$5^1.852*(O22/1000)^4.87),0))</f>
        <v/>
      </c>
      <c r="R22" s="51">
        <f>IF(Q22="""","""",IFERROR(PARAMETERS!$C$10*Q22,0))</f>
        <v/>
      </c>
      <c r="S22" s="51">
        <f>IF(Q22="""","""",IFERROR(Q22+R22,0))</f>
        <v/>
      </c>
      <c r="T22" s="10">
        <f>IF(OR(I22="""",S22=""""),"""",IFERROR(I22-S22,0))</f>
        <v/>
      </c>
      <c r="U22" s="45">
        <f>IF(T22="""","""",IFERROR(T22-F22,0))</f>
        <v/>
      </c>
      <c r="V22" s="50">
        <f>IF(N22="""","""",IF(N22="SIZE N/A","⚠ SIZE N/A",IF(P22="""","""",IF(AND(P22&gt;=PARAMETERS!$C$6,P22&lt;=PARAMETERS!$C$7,U22&gt;=PARAMETERS!$C$21),"✓ OK",IF(P22&lt;PARAMETERS!$C$6,"⚠ LOW VELOCITY",IF(P22&gt;PARAMETERS!$C$7,"⚠ HIGH VELOCITY","⚠ LOW PRESSURE"))))))</f>
        <v/>
      </c>
    </row>
    <row r="23" ht="18" customHeight="1">
      <c r="A23" s="43" t="n">
        <v>8</v>
      </c>
      <c r="B23" s="5" t="n"/>
      <c r="C23" s="5" t="n"/>
      <c r="D23" s="44" t="n"/>
      <c r="E23" s="23" t="n"/>
      <c r="F23" s="23" t="n"/>
      <c r="G23" s="45">
        <f>IF(OR(E23="",F23=""),"",F23-E23)</f>
        <v/>
      </c>
      <c r="H23" s="23" t="n"/>
      <c r="I23" s="10">
        <f>IFERROR(T22,"")</f>
        <v/>
      </c>
      <c r="J23" s="61">
        <f>IF(OR(E23="",I23=""),"",IFERROR(I23-MIN(E23,F23),0))</f>
        <v/>
      </c>
      <c r="K23" s="50">
        <f>IF(J23="""","""",IF(J23&lt;=PARAMETERS!$C$13/PARAMETERS!$C$17,6,IF(J23&lt;=PARAMETERS!$C$14/PARAMETERS!$C$17,10,IF(J23&lt;=PARAMETERS!$C$15/PARAMETERS!$C$17,16,20))))</f>
        <v/>
      </c>
      <c r="L23" s="50">
        <f>IF(K23="""","""",IF(K23=6,"PN - 6",IF(K23=10,"PN - 10",IF(K23=16,"PN - 16","PN - 20"))))</f>
        <v/>
      </c>
      <c r="M23" s="61">
        <f>IF(H23&lt;=0,"""",IFERROR(MAX(1000*((10.67*(H23/1000)^1.852)/(PARAMETERS!$C$5^1.852*($E$9/1000)))^(1/4.87),1000*SQRT(4*(H23/1000)/(PI()*PARAMETERS!$C$7))),0))</f>
        <v/>
      </c>
      <c r="N23" s="49">
        <f>IF(OR(H23&lt;=0,M23=""""),"""",IFERROR(AGGREGATE(15,6,PIPE_DB!$B$4:$B$77/((PIPE_DB!$E$4:$E$77&gt;=M23)*(PIPE_DB!$D$4:$D$77=K23)),1),"SIZE N/A"))</f>
        <v/>
      </c>
      <c r="O23" s="45">
        <f>IF(OR(N23="""",N23="SIZE N/A",NOT(ISNUMBER(N23))),"""",IFERROR(SUMPRODUCT((PIPE_DB!$B$4:$B$77=N23)*(PIPE_DB!$D$4:$D$77=K23)*PIPE_DB!$E$4:$E$77),0))</f>
        <v/>
      </c>
      <c r="P23" s="51">
        <f>IF(OR(H23&lt;=0,O23="""",NOT(ISNUMBER(O23))),"""",IFERROR(4*(H23/1000)/(PI()*(O23/1000)^2),0))</f>
        <v/>
      </c>
      <c r="Q23" s="51">
        <f>IF(OR(H23&lt;=0,O23="""",NOT(ISNUMBER(O23))),"""",IFERROR(10.67*D23*(H23/1000)^1.852/(PARAMETERS!$C$5^1.852*(O23/1000)^4.87),0))</f>
        <v/>
      </c>
      <c r="R23" s="51">
        <f>IF(Q23="""","""",IFERROR(PARAMETERS!$C$10*Q23,0))</f>
        <v/>
      </c>
      <c r="S23" s="51">
        <f>IF(Q23="""","""",IFERROR(Q23+R23,0))</f>
        <v/>
      </c>
      <c r="T23" s="10">
        <f>IF(OR(I23="""",S23=""""),"""",IFERROR(I23-S23,0))</f>
        <v/>
      </c>
      <c r="U23" s="45">
        <f>IF(T23="""","""",IFERROR(T23-F23,0))</f>
        <v/>
      </c>
      <c r="V23" s="50">
        <f>IF(N23="""","""",IF(N23="SIZE N/A","⚠ SIZE N/A",IF(P23="""","""",IF(AND(P23&gt;=PARAMETERS!$C$6,P23&lt;=PARAMETERS!$C$7,U23&gt;=PARAMETERS!$C$21),"✓ OK",IF(P23&lt;PARAMETERS!$C$6,"⚠ LOW VELOCITY",IF(P23&gt;PARAMETERS!$C$7,"⚠ HIGH VELOCITY","⚠ LOW PRESSURE"))))))</f>
        <v/>
      </c>
    </row>
    <row r="24" ht="18" customHeight="1">
      <c r="A24" s="43" t="n">
        <v>9</v>
      </c>
      <c r="B24" s="5" t="n"/>
      <c r="C24" s="5" t="n"/>
      <c r="D24" s="44" t="n"/>
      <c r="E24" s="23" t="n"/>
      <c r="F24" s="23" t="n"/>
      <c r="G24" s="45">
        <f>IF(OR(E24="",F24=""),"",F24-E24)</f>
        <v/>
      </c>
      <c r="H24" s="23" t="n"/>
      <c r="I24" s="10">
        <f>IFERROR(T23,"")</f>
        <v/>
      </c>
      <c r="J24" s="61">
        <f>IF(OR(E24="",I24=""),"",IFERROR(I24-MIN(E24,F24),0))</f>
        <v/>
      </c>
      <c r="K24" s="50">
        <f>IF(J24="""","""",IF(J24&lt;=PARAMETERS!$C$13/PARAMETERS!$C$17,6,IF(J24&lt;=PARAMETERS!$C$14/PARAMETERS!$C$17,10,IF(J24&lt;=PARAMETERS!$C$15/PARAMETERS!$C$17,16,20))))</f>
        <v/>
      </c>
      <c r="L24" s="50">
        <f>IF(K24="""","""",IF(K24=6,"PN - 6",IF(K24=10,"PN - 10",IF(K24=16,"PN - 16","PN - 20"))))</f>
        <v/>
      </c>
      <c r="M24" s="61">
        <f>IF(H24&lt;=0,"""",IFERROR(MAX(1000*((10.67*(H24/1000)^1.852)/(PARAMETERS!$C$5^1.852*($E$9/1000)))^(1/4.87),1000*SQRT(4*(H24/1000)/(PI()*PARAMETERS!$C$7))),0))</f>
        <v/>
      </c>
      <c r="N24" s="49">
        <f>IF(OR(H24&lt;=0,M24=""""),"""",IFERROR(AGGREGATE(15,6,PIPE_DB!$B$4:$B$77/((PIPE_DB!$E$4:$E$77&gt;=M24)*(PIPE_DB!$D$4:$D$77=K24)),1),"SIZE N/A"))</f>
        <v/>
      </c>
      <c r="O24" s="45">
        <f>IF(OR(N24="""",N24="SIZE N/A",NOT(ISNUMBER(N24))),"""",IFERROR(SUMPRODUCT((PIPE_DB!$B$4:$B$77=N24)*(PIPE_DB!$D$4:$D$77=K24)*PIPE_DB!$E$4:$E$77),0))</f>
        <v/>
      </c>
      <c r="P24" s="51">
        <f>IF(OR(H24&lt;=0,O24="""",NOT(ISNUMBER(O24))),"""",IFERROR(4*(H24/1000)/(PI()*(O24/1000)^2),0))</f>
        <v/>
      </c>
      <c r="Q24" s="51">
        <f>IF(OR(H24&lt;=0,O24="""",NOT(ISNUMBER(O24))),"""",IFERROR(10.67*D24*(H24/1000)^1.852/(PARAMETERS!$C$5^1.852*(O24/1000)^4.87),0))</f>
        <v/>
      </c>
      <c r="R24" s="51">
        <f>IF(Q24="""","""",IFERROR(PARAMETERS!$C$10*Q24,0))</f>
        <v/>
      </c>
      <c r="S24" s="51">
        <f>IF(Q24="""","""",IFERROR(Q24+R24,0))</f>
        <v/>
      </c>
      <c r="T24" s="10">
        <f>IF(OR(I24="""",S24=""""),"""",IFERROR(I24-S24,0))</f>
        <v/>
      </c>
      <c r="U24" s="45">
        <f>IF(T24="""","""",IFERROR(T24-F24,0))</f>
        <v/>
      </c>
      <c r="V24" s="50">
        <f>IF(N24="""","""",IF(N24="SIZE N/A","⚠ SIZE N/A",IF(P24="""","""",IF(AND(P24&gt;=PARAMETERS!$C$6,P24&lt;=PARAMETERS!$C$7,U24&gt;=PARAMETERS!$C$21),"✓ OK",IF(P24&lt;PARAMETERS!$C$6,"⚠ LOW VELOCITY",IF(P24&gt;PARAMETERS!$C$7,"⚠ HIGH VELOCITY","⚠ LOW PRESSURE"))))))</f>
        <v/>
      </c>
    </row>
    <row r="25" ht="18" customHeight="1">
      <c r="A25" s="43" t="n">
        <v>10</v>
      </c>
      <c r="B25" s="5" t="n"/>
      <c r="C25" s="5" t="n"/>
      <c r="D25" s="44" t="n"/>
      <c r="E25" s="23" t="n"/>
      <c r="F25" s="23" t="n"/>
      <c r="G25" s="45">
        <f>IF(OR(E25="",F25=""),"",F25-E25)</f>
        <v/>
      </c>
      <c r="H25" s="23" t="n"/>
      <c r="I25" s="10">
        <f>IFERROR(T24,"")</f>
        <v/>
      </c>
      <c r="J25" s="61">
        <f>IF(OR(E25="",I25=""),"",IFERROR(I25-MIN(E25,F25),0))</f>
        <v/>
      </c>
      <c r="K25" s="50">
        <f>IF(J25="""","""",IF(J25&lt;=PARAMETERS!$C$13/PARAMETERS!$C$17,6,IF(J25&lt;=PARAMETERS!$C$14/PARAMETERS!$C$17,10,IF(J25&lt;=PARAMETERS!$C$15/PARAMETERS!$C$17,16,20))))</f>
        <v/>
      </c>
      <c r="L25" s="50">
        <f>IF(K25="""","""",IF(K25=6,"PN - 6",IF(K25=10,"PN - 10",IF(K25=16,"PN - 16","PN - 20"))))</f>
        <v/>
      </c>
      <c r="M25" s="61">
        <f>IF(H25&lt;=0,"""",IFERROR(MAX(1000*((10.67*(H25/1000)^1.852)/(PARAMETERS!$C$5^1.852*($E$9/1000)))^(1/4.87),1000*SQRT(4*(H25/1000)/(PI()*PARAMETERS!$C$7))),0))</f>
        <v/>
      </c>
      <c r="N25" s="49">
        <f>IF(OR(H25&lt;=0,M25=""""),"""",IFERROR(AGGREGATE(15,6,PIPE_DB!$B$4:$B$77/((PIPE_DB!$E$4:$E$77&gt;=M25)*(PIPE_DB!$D$4:$D$77=K25)),1),"SIZE N/A"))</f>
        <v/>
      </c>
      <c r="O25" s="45">
        <f>IF(OR(N25="""",N25="SIZE N/A",NOT(ISNUMBER(N25))),"""",IFERROR(SUMPRODUCT((PIPE_DB!$B$4:$B$77=N25)*(PIPE_DB!$D$4:$D$77=K25)*PIPE_DB!$E$4:$E$77),0))</f>
        <v/>
      </c>
      <c r="P25" s="51">
        <f>IF(OR(H25&lt;=0,O25="""",NOT(ISNUMBER(O25))),"""",IFERROR(4*(H25/1000)/(PI()*(O25/1000)^2),0))</f>
        <v/>
      </c>
      <c r="Q25" s="51">
        <f>IF(OR(H25&lt;=0,O25="""",NOT(ISNUMBER(O25))),"""",IFERROR(10.67*D25*(H25/1000)^1.852/(PARAMETERS!$C$5^1.852*(O25/1000)^4.87),0))</f>
        <v/>
      </c>
      <c r="R25" s="51">
        <f>IF(Q25="""","""",IFERROR(PARAMETERS!$C$10*Q25,0))</f>
        <v/>
      </c>
      <c r="S25" s="51">
        <f>IF(Q25="""","""",IFERROR(Q25+R25,0))</f>
        <v/>
      </c>
      <c r="T25" s="10">
        <f>IF(OR(I25="""",S25=""""),"""",IFERROR(I25-S25,0))</f>
        <v/>
      </c>
      <c r="U25" s="45">
        <f>IF(T25="""","""",IFERROR(T25-F25,0))</f>
        <v/>
      </c>
      <c r="V25" s="50">
        <f>IF(N25="""","""",IF(N25="SIZE N/A","⚠ SIZE N/A",IF(P25="""","""",IF(AND(P25&gt;=PARAMETERS!$C$6,P25&lt;=PARAMETERS!$C$7,U25&gt;=PARAMETERS!$C$21),"✓ OK",IF(P25&lt;PARAMETERS!$C$6,"⚠ LOW VELOCITY",IF(P25&gt;PARAMETERS!$C$7,"⚠ HIGH VELOCITY","⚠ LOW PRESSURE"))))))</f>
        <v/>
      </c>
    </row>
    <row r="26" ht="18" customHeight="1">
      <c r="A26" s="43" t="n">
        <v>11</v>
      </c>
      <c r="B26" s="5" t="n"/>
      <c r="C26" s="5" t="n"/>
      <c r="D26" s="44" t="n"/>
      <c r="E26" s="23" t="n"/>
      <c r="F26" s="23" t="n"/>
      <c r="G26" s="45">
        <f>IF(OR(E26="",F26=""),"",F26-E26)</f>
        <v/>
      </c>
      <c r="H26" s="23" t="n"/>
      <c r="I26" s="10">
        <f>IFERROR(T25,"")</f>
        <v/>
      </c>
      <c r="J26" s="61">
        <f>IF(OR(E26="",I26=""),"",IFERROR(I26-MIN(E26,F26),0))</f>
        <v/>
      </c>
      <c r="K26" s="50">
        <f>IF(J26="""","""",IF(J26&lt;=PARAMETERS!$C$13/PARAMETERS!$C$17,6,IF(J26&lt;=PARAMETERS!$C$14/PARAMETERS!$C$17,10,IF(J26&lt;=PARAMETERS!$C$15/PARAMETERS!$C$17,16,20))))</f>
        <v/>
      </c>
      <c r="L26" s="50">
        <f>IF(K26="""","""",IF(K26=6,"PN - 6",IF(K26=10,"PN - 10",IF(K26=16,"PN - 16","PN - 20"))))</f>
        <v/>
      </c>
      <c r="M26" s="61">
        <f>IF(H26&lt;=0,"""",IFERROR(MAX(1000*((10.67*(H26/1000)^1.852)/(PARAMETERS!$C$5^1.852*($E$9/1000)))^(1/4.87),1000*SQRT(4*(H26/1000)/(PI()*PARAMETERS!$C$7))),0))</f>
        <v/>
      </c>
      <c r="N26" s="49">
        <f>IF(OR(H26&lt;=0,M26=""""),"""",IFERROR(AGGREGATE(15,6,PIPE_DB!$B$4:$B$77/((PIPE_DB!$E$4:$E$77&gt;=M26)*(PIPE_DB!$D$4:$D$77=K26)),1),"SIZE N/A"))</f>
        <v/>
      </c>
      <c r="O26" s="45">
        <f>IF(OR(N26="""",N26="SIZE N/A",NOT(ISNUMBER(N26))),"""",IFERROR(SUMPRODUCT((PIPE_DB!$B$4:$B$77=N26)*(PIPE_DB!$D$4:$D$77=K26)*PIPE_DB!$E$4:$E$77),0))</f>
        <v/>
      </c>
      <c r="P26" s="51">
        <f>IF(OR(H26&lt;=0,O26="""",NOT(ISNUMBER(O26))),"""",IFERROR(4*(H26/1000)/(PI()*(O26/1000)^2),0))</f>
        <v/>
      </c>
      <c r="Q26" s="51">
        <f>IF(OR(H26&lt;=0,O26="""",NOT(ISNUMBER(O26))),"""",IFERROR(10.67*D26*(H26/1000)^1.852/(PARAMETERS!$C$5^1.852*(O26/1000)^4.87),0))</f>
        <v/>
      </c>
      <c r="R26" s="51">
        <f>IF(Q26="""","""",IFERROR(PARAMETERS!$C$10*Q26,0))</f>
        <v/>
      </c>
      <c r="S26" s="51">
        <f>IF(Q26="""","""",IFERROR(Q26+R26,0))</f>
        <v/>
      </c>
      <c r="T26" s="10">
        <f>IF(OR(I26="""",S26=""""),"""",IFERROR(I26-S26,0))</f>
        <v/>
      </c>
      <c r="U26" s="45">
        <f>IF(T26="""","""",IFERROR(T26-F26,0))</f>
        <v/>
      </c>
      <c r="V26" s="50">
        <f>IF(N26="""","""",IF(N26="SIZE N/A","⚠ SIZE N/A",IF(P26="""","""",IF(AND(P26&gt;=PARAMETERS!$C$6,P26&lt;=PARAMETERS!$C$7,U26&gt;=PARAMETERS!$C$21),"✓ OK",IF(P26&lt;PARAMETERS!$C$6,"⚠ LOW VELOCITY",IF(P26&gt;PARAMETERS!$C$7,"⚠ HIGH VELOCITY","⚠ LOW PRESSURE"))))))</f>
        <v/>
      </c>
    </row>
    <row r="27" ht="18" customHeight="1">
      <c r="A27" s="43" t="n">
        <v>12</v>
      </c>
      <c r="B27" s="5" t="n"/>
      <c r="C27" s="5" t="n"/>
      <c r="D27" s="44" t="n"/>
      <c r="E27" s="23" t="n"/>
      <c r="F27" s="23" t="n"/>
      <c r="G27" s="45">
        <f>IF(OR(E27="",F27=""),"",F27-E27)</f>
        <v/>
      </c>
      <c r="H27" s="23" t="n"/>
      <c r="I27" s="10">
        <f>IFERROR(T26,"")</f>
        <v/>
      </c>
      <c r="J27" s="61">
        <f>IF(OR(E27="",I27=""),"",IFERROR(I27-MIN(E27,F27),0))</f>
        <v/>
      </c>
      <c r="K27" s="50">
        <f>IF(J27="""","""",IF(J27&lt;=PARAMETERS!$C$13/PARAMETERS!$C$17,6,IF(J27&lt;=PARAMETERS!$C$14/PARAMETERS!$C$17,10,IF(J27&lt;=PARAMETERS!$C$15/PARAMETERS!$C$17,16,20))))</f>
        <v/>
      </c>
      <c r="L27" s="50">
        <f>IF(K27="""","""",IF(K27=6,"PN - 6",IF(K27=10,"PN - 10",IF(K27=16,"PN - 16","PN - 20"))))</f>
        <v/>
      </c>
      <c r="M27" s="61">
        <f>IF(H27&lt;=0,"""",IFERROR(MAX(1000*((10.67*(H27/1000)^1.852)/(PARAMETERS!$C$5^1.852*($E$9/1000)))^(1/4.87),1000*SQRT(4*(H27/1000)/(PI()*PARAMETERS!$C$7))),0))</f>
        <v/>
      </c>
      <c r="N27" s="49">
        <f>IF(OR(H27&lt;=0,M27=""""),"""",IFERROR(AGGREGATE(15,6,PIPE_DB!$B$4:$B$77/((PIPE_DB!$E$4:$E$77&gt;=M27)*(PIPE_DB!$D$4:$D$77=K27)),1),"SIZE N/A"))</f>
        <v/>
      </c>
      <c r="O27" s="45">
        <f>IF(OR(N27="""",N27="SIZE N/A",NOT(ISNUMBER(N27))),"""",IFERROR(SUMPRODUCT((PIPE_DB!$B$4:$B$77=N27)*(PIPE_DB!$D$4:$D$77=K27)*PIPE_DB!$E$4:$E$77),0))</f>
        <v/>
      </c>
      <c r="P27" s="51">
        <f>IF(OR(H27&lt;=0,O27="""",NOT(ISNUMBER(O27))),"""",IFERROR(4*(H27/1000)/(PI()*(O27/1000)^2),0))</f>
        <v/>
      </c>
      <c r="Q27" s="51">
        <f>IF(OR(H27&lt;=0,O27="""",NOT(ISNUMBER(O27))),"""",IFERROR(10.67*D27*(H27/1000)^1.852/(PARAMETERS!$C$5^1.852*(O27/1000)^4.87),0))</f>
        <v/>
      </c>
      <c r="R27" s="51">
        <f>IF(Q27="""","""",IFERROR(PARAMETERS!$C$10*Q27,0))</f>
        <v/>
      </c>
      <c r="S27" s="51">
        <f>IF(Q27="""","""",IFERROR(Q27+R27,0))</f>
        <v/>
      </c>
      <c r="T27" s="10">
        <f>IF(OR(I27="""",S27=""""),"""",IFERROR(I27-S27,0))</f>
        <v/>
      </c>
      <c r="U27" s="45">
        <f>IF(T27="""","""",IFERROR(T27-F27,0))</f>
        <v/>
      </c>
      <c r="V27" s="50">
        <f>IF(N27="""","""",IF(N27="SIZE N/A","⚠ SIZE N/A",IF(P27="""","""",IF(AND(P27&gt;=PARAMETERS!$C$6,P27&lt;=PARAMETERS!$C$7,U27&gt;=PARAMETERS!$C$21),"✓ OK",IF(P27&lt;PARAMETERS!$C$6,"⚠ LOW VELOCITY",IF(P27&gt;PARAMETERS!$C$7,"⚠ HIGH VELOCITY","⚠ LOW PRESSURE"))))))</f>
        <v/>
      </c>
    </row>
    <row r="28" ht="18" customHeight="1">
      <c r="A28" s="43" t="n">
        <v>13</v>
      </c>
      <c r="B28" s="5" t="n"/>
      <c r="C28" s="5" t="n"/>
      <c r="D28" s="44" t="n"/>
      <c r="E28" s="23" t="n"/>
      <c r="F28" s="23" t="n"/>
      <c r="G28" s="45">
        <f>IF(OR(E28="",F28=""),"",F28-E28)</f>
        <v/>
      </c>
      <c r="H28" s="23" t="n"/>
      <c r="I28" s="10">
        <f>IFERROR(T27,"")</f>
        <v/>
      </c>
      <c r="J28" s="61">
        <f>IF(OR(E28="",I28=""),"",IFERROR(I28-MIN(E28,F28),0))</f>
        <v/>
      </c>
      <c r="K28" s="50">
        <f>IF(J28="""","""",IF(J28&lt;=PARAMETERS!$C$13/PARAMETERS!$C$17,6,IF(J28&lt;=PARAMETERS!$C$14/PARAMETERS!$C$17,10,IF(J28&lt;=PARAMETERS!$C$15/PARAMETERS!$C$17,16,20))))</f>
        <v/>
      </c>
      <c r="L28" s="50">
        <f>IF(K28="""","""",IF(K28=6,"PN - 6",IF(K28=10,"PN - 10",IF(K28=16,"PN - 16","PN - 20"))))</f>
        <v/>
      </c>
      <c r="M28" s="61">
        <f>IF(H28&lt;=0,"""",IFERROR(MAX(1000*((10.67*(H28/1000)^1.852)/(PARAMETERS!$C$5^1.852*($E$9/1000)))^(1/4.87),1000*SQRT(4*(H28/1000)/(PI()*PARAMETERS!$C$7))),0))</f>
        <v/>
      </c>
      <c r="N28" s="49">
        <f>IF(OR(H28&lt;=0,M28=""""),"""",IFERROR(AGGREGATE(15,6,PIPE_DB!$B$4:$B$77/((PIPE_DB!$E$4:$E$77&gt;=M28)*(PIPE_DB!$D$4:$D$77=K28)),1),"SIZE N/A"))</f>
        <v/>
      </c>
      <c r="O28" s="45">
        <f>IF(OR(N28="""",N28="SIZE N/A",NOT(ISNUMBER(N28))),"""",IFERROR(SUMPRODUCT((PIPE_DB!$B$4:$B$77=N28)*(PIPE_DB!$D$4:$D$77=K28)*PIPE_DB!$E$4:$E$77),0))</f>
        <v/>
      </c>
      <c r="P28" s="51">
        <f>IF(OR(H28&lt;=0,O28="""",NOT(ISNUMBER(O28))),"""",IFERROR(4*(H28/1000)/(PI()*(O28/1000)^2),0))</f>
        <v/>
      </c>
      <c r="Q28" s="51">
        <f>IF(OR(H28&lt;=0,O28="""",NOT(ISNUMBER(O28))),"""",IFERROR(10.67*D28*(H28/1000)^1.852/(PARAMETERS!$C$5^1.852*(O28/1000)^4.87),0))</f>
        <v/>
      </c>
      <c r="R28" s="51">
        <f>IF(Q28="""","""",IFERROR(PARAMETERS!$C$10*Q28,0))</f>
        <v/>
      </c>
      <c r="S28" s="51">
        <f>IF(Q28="""","""",IFERROR(Q28+R28,0))</f>
        <v/>
      </c>
      <c r="T28" s="10">
        <f>IF(OR(I28="""",S28=""""),"""",IFERROR(I28-S28,0))</f>
        <v/>
      </c>
      <c r="U28" s="45">
        <f>IF(T28="""","""",IFERROR(T28-F28,0))</f>
        <v/>
      </c>
      <c r="V28" s="50">
        <f>IF(N28="""","""",IF(N28="SIZE N/A","⚠ SIZE N/A",IF(P28="""","""",IF(AND(P28&gt;=PARAMETERS!$C$6,P28&lt;=PARAMETERS!$C$7,U28&gt;=PARAMETERS!$C$21),"✓ OK",IF(P28&lt;PARAMETERS!$C$6,"⚠ LOW VELOCITY",IF(P28&gt;PARAMETERS!$C$7,"⚠ HIGH VELOCITY","⚠ LOW PRESSURE"))))))</f>
        <v/>
      </c>
    </row>
    <row r="29" ht="18" customHeight="1">
      <c r="A29" s="43" t="n">
        <v>14</v>
      </c>
      <c r="B29" s="5" t="n"/>
      <c r="C29" s="5" t="n"/>
      <c r="D29" s="44" t="n"/>
      <c r="E29" s="23" t="n"/>
      <c r="F29" s="23" t="n"/>
      <c r="G29" s="45">
        <f>IF(OR(E29="",F29=""),"",F29-E29)</f>
        <v/>
      </c>
      <c r="H29" s="23" t="n"/>
      <c r="I29" s="10">
        <f>IFERROR(T28,"")</f>
        <v/>
      </c>
      <c r="J29" s="61">
        <f>IF(OR(E29="",I29=""),"",IFERROR(I29-MIN(E29,F29),0))</f>
        <v/>
      </c>
      <c r="K29" s="50">
        <f>IF(J29="""","""",IF(J29&lt;=PARAMETERS!$C$13/PARAMETERS!$C$17,6,IF(J29&lt;=PARAMETERS!$C$14/PARAMETERS!$C$17,10,IF(J29&lt;=PARAMETERS!$C$15/PARAMETERS!$C$17,16,20))))</f>
        <v/>
      </c>
      <c r="L29" s="50">
        <f>IF(K29="""","""",IF(K29=6,"PN - 6",IF(K29=10,"PN - 10",IF(K29=16,"PN - 16","PN - 20"))))</f>
        <v/>
      </c>
      <c r="M29" s="61">
        <f>IF(H29&lt;=0,"""",IFERROR(MAX(1000*((10.67*(H29/1000)^1.852)/(PARAMETERS!$C$5^1.852*($E$9/1000)))^(1/4.87),1000*SQRT(4*(H29/1000)/(PI()*PARAMETERS!$C$7))),0))</f>
        <v/>
      </c>
      <c r="N29" s="49">
        <f>IF(OR(H29&lt;=0,M29=""""),"""",IFERROR(AGGREGATE(15,6,PIPE_DB!$B$4:$B$77/((PIPE_DB!$E$4:$E$77&gt;=M29)*(PIPE_DB!$D$4:$D$77=K29)),1),"SIZE N/A"))</f>
        <v/>
      </c>
      <c r="O29" s="45">
        <f>IF(OR(N29="""",N29="SIZE N/A",NOT(ISNUMBER(N29))),"""",IFERROR(SUMPRODUCT((PIPE_DB!$B$4:$B$77=N29)*(PIPE_DB!$D$4:$D$77=K29)*PIPE_DB!$E$4:$E$77),0))</f>
        <v/>
      </c>
      <c r="P29" s="51">
        <f>IF(OR(H29&lt;=0,O29="""",NOT(ISNUMBER(O29))),"""",IFERROR(4*(H29/1000)/(PI()*(O29/1000)^2),0))</f>
        <v/>
      </c>
      <c r="Q29" s="51">
        <f>IF(OR(H29&lt;=0,O29="""",NOT(ISNUMBER(O29))),"""",IFERROR(10.67*D29*(H29/1000)^1.852/(PARAMETERS!$C$5^1.852*(O29/1000)^4.87),0))</f>
        <v/>
      </c>
      <c r="R29" s="51">
        <f>IF(Q29="""","""",IFERROR(PARAMETERS!$C$10*Q29,0))</f>
        <v/>
      </c>
      <c r="S29" s="51">
        <f>IF(Q29="""","""",IFERROR(Q29+R29,0))</f>
        <v/>
      </c>
      <c r="T29" s="10">
        <f>IF(OR(I29="""",S29=""""),"""",IFERROR(I29-S29,0))</f>
        <v/>
      </c>
      <c r="U29" s="45">
        <f>IF(T29="""","""",IFERROR(T29-F29,0))</f>
        <v/>
      </c>
      <c r="V29" s="50">
        <f>IF(N29="""","""",IF(N29="SIZE N/A","⚠ SIZE N/A",IF(P29="""","""",IF(AND(P29&gt;=PARAMETERS!$C$6,P29&lt;=PARAMETERS!$C$7,U29&gt;=PARAMETERS!$C$21),"✓ OK",IF(P29&lt;PARAMETERS!$C$6,"⚠ LOW VELOCITY",IF(P29&gt;PARAMETERS!$C$7,"⚠ HIGH VELOCITY","⚠ LOW PRESSURE"))))))</f>
        <v/>
      </c>
    </row>
    <row r="30" ht="18" customHeight="1">
      <c r="A30" s="43" t="n">
        <v>15</v>
      </c>
      <c r="B30" s="5" t="n"/>
      <c r="C30" s="5" t="n"/>
      <c r="D30" s="44" t="n"/>
      <c r="E30" s="23" t="n"/>
      <c r="F30" s="23" t="n"/>
      <c r="G30" s="45">
        <f>IF(OR(E30="",F30=""),"",F30-E30)</f>
        <v/>
      </c>
      <c r="H30" s="23" t="n"/>
      <c r="I30" s="10">
        <f>IFERROR(T29,"")</f>
        <v/>
      </c>
      <c r="J30" s="61">
        <f>IF(OR(E30="",I30=""),"",IFERROR(I30-MIN(E30,F30),0))</f>
        <v/>
      </c>
      <c r="K30" s="50">
        <f>IF(J30="""","""",IF(J30&lt;=PARAMETERS!$C$13/PARAMETERS!$C$17,6,IF(J30&lt;=PARAMETERS!$C$14/PARAMETERS!$C$17,10,IF(J30&lt;=PARAMETERS!$C$15/PARAMETERS!$C$17,16,20))))</f>
        <v/>
      </c>
      <c r="L30" s="50">
        <f>IF(K30="""","""",IF(K30=6,"PN - 6",IF(K30=10,"PN - 10",IF(K30=16,"PN - 16","PN - 20"))))</f>
        <v/>
      </c>
      <c r="M30" s="61">
        <f>IF(H30&lt;=0,"""",IFERROR(MAX(1000*((10.67*(H30/1000)^1.852)/(PARAMETERS!$C$5^1.852*($E$9/1000)))^(1/4.87),1000*SQRT(4*(H30/1000)/(PI()*PARAMETERS!$C$7))),0))</f>
        <v/>
      </c>
      <c r="N30" s="49">
        <f>IF(OR(H30&lt;=0,M30=""""),"""",IFERROR(AGGREGATE(15,6,PIPE_DB!$B$4:$B$77/((PIPE_DB!$E$4:$E$77&gt;=M30)*(PIPE_DB!$D$4:$D$77=K30)),1),"SIZE N/A"))</f>
        <v/>
      </c>
      <c r="O30" s="45">
        <f>IF(OR(N30="""",N30="SIZE N/A",NOT(ISNUMBER(N30))),"""",IFERROR(SUMPRODUCT((PIPE_DB!$B$4:$B$77=N30)*(PIPE_DB!$D$4:$D$77=K30)*PIPE_DB!$E$4:$E$77),0))</f>
        <v/>
      </c>
      <c r="P30" s="51">
        <f>IF(OR(H30&lt;=0,O30="""",NOT(ISNUMBER(O30))),"""",IFERROR(4*(H30/1000)/(PI()*(O30/1000)^2),0))</f>
        <v/>
      </c>
      <c r="Q30" s="51">
        <f>IF(OR(H30&lt;=0,O30="""",NOT(ISNUMBER(O30))),"""",IFERROR(10.67*D30*(H30/1000)^1.852/(PARAMETERS!$C$5^1.852*(O30/1000)^4.87),0))</f>
        <v/>
      </c>
      <c r="R30" s="51">
        <f>IF(Q30="""","""",IFERROR(PARAMETERS!$C$10*Q30,0))</f>
        <v/>
      </c>
      <c r="S30" s="51">
        <f>IF(Q30="""","""",IFERROR(Q30+R30,0))</f>
        <v/>
      </c>
      <c r="T30" s="10">
        <f>IF(OR(I30="""",S30=""""),"""",IFERROR(I30-S30,0))</f>
        <v/>
      </c>
      <c r="U30" s="45">
        <f>IF(T30="""","""",IFERROR(T30-F30,0))</f>
        <v/>
      </c>
      <c r="V30" s="50">
        <f>IF(N30="""","""",IF(N30="SIZE N/A","⚠ SIZE N/A",IF(P30="""","""",IF(AND(P30&gt;=PARAMETERS!$C$6,P30&lt;=PARAMETERS!$C$7,U30&gt;=PARAMETERS!$C$21),"✓ OK",IF(P30&lt;PARAMETERS!$C$6,"⚠ LOW VELOCITY",IF(P30&gt;PARAMETERS!$C$7,"⚠ HIGH VELOCITY","⚠ LOW PRESSURE"))))))</f>
        <v/>
      </c>
    </row>
    <row r="31" ht="20" customHeight="1">
      <c r="A31" s="52" t="inlineStr">
        <is>
          <t>TOTALS</t>
        </is>
      </c>
      <c r="B31" s="53" t="n"/>
      <c r="C31" s="53" t="n"/>
      <c r="D31" s="54">
        <f>IFERROR(SUM(D16:D30),0)</f>
        <v/>
      </c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4">
        <f>IFERROR(SUM(Q16:Q30),0)</f>
        <v/>
      </c>
      <c r="R31" s="54">
        <f>IFERROR(SUM(R16:R30),0)</f>
        <v/>
      </c>
      <c r="S31" s="54">
        <f>IFERROR(SUM(S16:S30),0)</f>
        <v/>
      </c>
      <c r="T31" s="53" t="n"/>
      <c r="U31" s="53" t="n"/>
      <c r="V31" s="53" t="n"/>
    </row>
    <row r="32" ht="8" customHeight="1"/>
    <row r="33" ht="18" customHeight="1">
      <c r="A33" s="3" t="inlineStr">
        <is>
          <t>HYDRAULIC SUMMARY</t>
        </is>
      </c>
    </row>
    <row r="34" ht="18" customHeight="1">
      <c r="A34" s="4" t="inlineStr">
        <is>
          <t>Total Pipeline Length</t>
        </is>
      </c>
      <c r="E34" s="10">
        <f>IFERROR(SUM(D16:D30),0)</f>
        <v/>
      </c>
      <c r="F34" s="37" t="inlineStr">
        <is>
          <t>m</t>
        </is>
      </c>
    </row>
    <row r="35" ht="18" customHeight="1">
      <c r="A35" s="4" t="inlineStr">
        <is>
          <t>Total Friction Head Loss</t>
        </is>
      </c>
      <c r="E35" s="10">
        <f>IFERROR(SUM(Q16:Q30),0)</f>
        <v/>
      </c>
      <c r="F35" s="37" t="inlineStr">
        <is>
          <t>m</t>
        </is>
      </c>
    </row>
    <row r="36" ht="18" customHeight="1">
      <c r="A36" s="4" t="inlineStr">
        <is>
          <t>Total Minor Head Loss</t>
        </is>
      </c>
      <c r="E36" s="10">
        <f>IFERROR(SUM(R16:R30),0)</f>
        <v/>
      </c>
      <c r="F36" s="37" t="inlineStr">
        <is>
          <t>m</t>
        </is>
      </c>
    </row>
    <row r="37" ht="18" customHeight="1">
      <c r="A37" s="4" t="inlineStr">
        <is>
          <t>Total Head Loss (friction+minor)</t>
        </is>
      </c>
      <c r="E37" s="10">
        <f>IFERROR(SUM(S16:S30),0)</f>
        <v/>
      </c>
      <c r="F37" s="37" t="inlineStr">
        <is>
          <t>m</t>
        </is>
      </c>
    </row>
    <row r="38" ht="18" customHeight="1">
      <c r="A38" s="4" t="inlineStr">
        <is>
          <t>HGL at Supply Point</t>
        </is>
      </c>
      <c r="E38" s="10">
        <f>$E$8</f>
        <v/>
      </c>
      <c r="F38" s="37" t="inlineStr">
        <is>
          <t>m ASL</t>
        </is>
      </c>
    </row>
    <row r="39" ht="18" customHeight="1">
      <c r="A39" s="4" t="inlineStr">
        <is>
          <t>HGL at Destination</t>
        </is>
      </c>
      <c r="E39" s="10">
        <f>IFERROR(T30,"-")</f>
        <v/>
      </c>
      <c r="F39" s="37" t="inlineStr">
        <is>
          <t>m ASL</t>
        </is>
      </c>
    </row>
    <row r="40" ht="18" customHeight="1">
      <c r="A40" s="4" t="inlineStr">
        <is>
          <t>Residual Head at Destination</t>
        </is>
      </c>
      <c r="E40" s="10">
        <f>IFERROR(U30,"-")</f>
        <v/>
      </c>
      <c r="F40" s="37" t="inlineStr">
        <is>
          <t>m</t>
        </is>
      </c>
    </row>
    <row r="41" ht="18" customHeight="1">
      <c r="A41" s="4" t="inlineStr">
        <is>
          <t>Required Minimum Residual Head</t>
        </is>
      </c>
      <c r="E41" s="10">
        <f>$E$10</f>
        <v/>
      </c>
      <c r="F41" s="37" t="inlineStr">
        <is>
          <t>m</t>
        </is>
      </c>
    </row>
    <row r="42" ht="18" customHeight="1">
      <c r="A42" s="4" t="inlineStr">
        <is>
          <t>Design Check</t>
        </is>
      </c>
      <c r="E42" s="10">
        <f>IF(ISNUMBER(U30),IF(U30&gt;=$E$10,"✓ SUFFICIENT HEAD","⚠ INSUFFICIENT HEAD — REVISE DESIGN"),"-")</f>
        <v/>
      </c>
      <c r="F42" s="37" t="inlineStr"/>
    </row>
  </sheetData>
  <mergeCells count="26">
    <mergeCell ref="A2:V2"/>
    <mergeCell ref="A5:D5"/>
    <mergeCell ref="A8:D8"/>
    <mergeCell ref="G10:L10"/>
    <mergeCell ref="A35:D35"/>
    <mergeCell ref="A38:D38"/>
    <mergeCell ref="A14:D14"/>
    <mergeCell ref="A10:D10"/>
    <mergeCell ref="A40:D40"/>
    <mergeCell ref="A9:D9"/>
    <mergeCell ref="A33:L33"/>
    <mergeCell ref="A34:D34"/>
    <mergeCell ref="A39:D39"/>
    <mergeCell ref="A36:D36"/>
    <mergeCell ref="A4:L4"/>
    <mergeCell ref="A6:D6"/>
    <mergeCell ref="A1:V1"/>
    <mergeCell ref="A31:C31"/>
    <mergeCell ref="G9:L9"/>
    <mergeCell ref="A7:D7"/>
    <mergeCell ref="A41:D41"/>
    <mergeCell ref="A37:D37"/>
    <mergeCell ref="G8:L8"/>
    <mergeCell ref="A42:D42"/>
    <mergeCell ref="A12:V12"/>
    <mergeCell ref="G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U56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9" customWidth="1" min="7" max="7"/>
    <col width="14" customWidth="1" min="8" max="8"/>
    <col width="13" customWidth="1" min="9" max="9"/>
    <col width="9" customWidth="1" min="10" max="10"/>
    <col width="11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1" customWidth="1" min="20" max="20"/>
    <col width="16" customWidth="1" min="21" max="21"/>
  </cols>
  <sheetData>
    <row r="1" ht="30" customHeight="1">
      <c r="A1" s="19" t="inlineStr">
        <is>
          <t>DISTRIBUTION NETWORK PIPE SIZING  —  Hazen-Williams Method</t>
        </is>
      </c>
    </row>
    <row r="2" ht="18" customHeight="1">
      <c r="A2" s="36" t="inlineStr">
        <is>
          <t>HDPE PE100  |  Auto Pipe OD &amp; Pressure Rating (PN) Selection  |  Uganda WSS DM 2nd Ed.</t>
        </is>
      </c>
    </row>
    <row r="3" ht="8" customHeight="1"/>
    <row r="4" ht="18" customHeight="1">
      <c r="A4" s="3" t="inlineStr">
        <is>
          <t>SECTION 1 — DEMAND CALCULATION</t>
        </is>
      </c>
    </row>
    <row r="5" ht="20" customHeight="1">
      <c r="A5" s="8" t="inlineStr">
        <is>
          <t>Parameter</t>
        </is>
      </c>
      <c r="B5" s="8" t="inlineStr">
        <is>
          <t>Value</t>
        </is>
      </c>
      <c r="C5" s="8" t="inlineStr">
        <is>
          <t>Unit</t>
        </is>
      </c>
      <c r="D5" s="8" t="inlineStr">
        <is>
          <t>Notes / Formula</t>
        </is>
      </c>
    </row>
    <row r="6" ht="18" customHeight="1">
      <c r="A6" s="9" t="inlineStr">
        <is>
          <t>Present Population</t>
        </is>
      </c>
      <c r="B6" s="5" t="n"/>
      <c r="C6" s="62" t="inlineStr">
        <is>
          <t>persons</t>
        </is>
      </c>
      <c r="D6" s="22" t="inlineStr">
        <is>
          <t>Current census / community count</t>
        </is>
      </c>
    </row>
    <row r="7" ht="18" customHeight="1">
      <c r="A7" s="9" t="inlineStr">
        <is>
          <t>Design Population  (auto-calculated)</t>
        </is>
      </c>
      <c r="B7" s="10">
        <f>IFERROR(B6*(1+PARAMETERS!$C$31)^PARAMETERS!$C$32,"")</f>
        <v/>
      </c>
      <c r="C7" s="62" t="inlineStr">
        <is>
          <t>persons</t>
        </is>
      </c>
      <c r="D7" s="22" t="inlineStr">
        <is>
          <t>Present pop × (1 + growth rate)^design period</t>
        </is>
      </c>
    </row>
    <row r="8" ht="18" customHeight="1">
      <c r="A8" s="9" t="inlineStr">
        <is>
          <t>Per Capita Demand</t>
        </is>
      </c>
      <c r="B8" s="10">
        <f>PARAMETERS!$C$27</f>
        <v/>
      </c>
      <c r="C8" s="62" t="inlineStr">
        <is>
          <t>L/cap/day</t>
        </is>
      </c>
      <c r="D8" s="22" t="inlineStr">
        <is>
          <t>From PARAMETERS — adjust to local survey data</t>
        </is>
      </c>
    </row>
    <row r="9" ht="18" customHeight="1">
      <c r="A9" s="9" t="inlineStr">
        <is>
          <t>NRW / Loss Factor</t>
        </is>
      </c>
      <c r="B9" s="10">
        <f>PARAMETERS!$C$30</f>
        <v/>
      </c>
      <c r="C9" s="62" t="inlineStr">
        <is>
          <t>-</t>
        </is>
      </c>
      <c r="D9" s="22" t="inlineStr">
        <is>
          <t>From PARAMETERS</t>
        </is>
      </c>
    </row>
    <row r="10" ht="18" customHeight="1">
      <c r="A10" s="9" t="inlineStr">
        <is>
          <t>Peak Hour Factor  (PHF)</t>
        </is>
      </c>
      <c r="B10" s="10">
        <f>PARAMETERS!$C$28</f>
        <v/>
      </c>
      <c r="C10" s="62" t="inlineStr">
        <is>
          <t>-</t>
        </is>
      </c>
      <c r="D10" s="22" t="inlineStr">
        <is>
          <t>From PARAMETERS</t>
        </is>
      </c>
    </row>
    <row r="11" ht="18" customHeight="1">
      <c r="A11" s="9" t="inlineStr">
        <is>
          <t>Gross Average Daily Demand</t>
        </is>
      </c>
      <c r="B11" s="10">
        <f>IFERROR(B7*B8*B9/1000,"")</f>
        <v/>
      </c>
      <c r="C11" s="62" t="inlineStr">
        <is>
          <t>m³/day</t>
        </is>
      </c>
      <c r="D11" s="22" t="inlineStr">
        <is>
          <t>Design pop × per_capita × NRW ÷ 1000</t>
        </is>
      </c>
    </row>
    <row r="12" ht="18" customHeight="1">
      <c r="A12" s="9" t="inlineStr">
        <is>
          <t>Average Daily Flow</t>
        </is>
      </c>
      <c r="B12" s="10">
        <f>IFERROR(B11*1000/(24*3600),"")</f>
        <v/>
      </c>
      <c r="C12" s="62" t="inlineStr">
        <is>
          <t>L/s</t>
        </is>
      </c>
      <c r="D12" s="22" t="inlineStr">
        <is>
          <t>Gross ADD × 1000 ÷ 86400</t>
        </is>
      </c>
    </row>
    <row r="13" ht="18" customHeight="1">
      <c r="A13" s="63" t="inlineStr">
        <is>
          <t>DESIGN FLOW — Peak Hour  (use per branch below)</t>
        </is>
      </c>
      <c r="B13" s="10">
        <f>IFERROR(B12*B10,"")</f>
        <v/>
      </c>
      <c r="C13" s="62" t="inlineStr">
        <is>
          <t>L/s</t>
        </is>
      </c>
      <c r="D13" s="22" t="inlineStr">
        <is>
          <t>Average daily flow × PHF</t>
        </is>
      </c>
    </row>
    <row r="14" ht="18" customHeight="1">
      <c r="A14" s="9" t="inlineStr">
        <is>
          <t>HGL at Supply Point  (Reservoir HWL)</t>
        </is>
      </c>
      <c r="B14" s="5" t="n"/>
      <c r="C14" s="62" t="inlineStr">
        <is>
          <t>m ASL</t>
        </is>
      </c>
      <c r="D14" s="22" t="inlineStr">
        <is>
          <t>Enter reservoir high water level from TDH_CALC or survey</t>
        </is>
      </c>
    </row>
    <row r="15" ht="18" customHeight="1">
      <c r="A15" s="9" t="inlineStr">
        <is>
          <t>Min. Residual Pressure at Consumer</t>
        </is>
      </c>
      <c r="B15" s="10">
        <f>PARAMETERS!$C$20</f>
        <v/>
      </c>
      <c r="C15" s="62" t="inlineStr">
        <is>
          <t>m</t>
        </is>
      </c>
      <c r="D15" s="22" t="inlineStr">
        <is>
          <t>From PARAMETERS — Uganda WSS DM rural standard</t>
        </is>
      </c>
    </row>
    <row r="16" ht="18" customHeight="1">
      <c r="A16" s="9" t="inlineStr">
        <is>
          <t>Allowable Head Loss Gradient</t>
        </is>
      </c>
      <c r="B16" s="10">
        <f>PARAMETERS!$C$23</f>
        <v/>
      </c>
      <c r="C16" s="62" t="inlineStr">
        <is>
          <t>m/km</t>
        </is>
      </c>
      <c r="D16" s="22" t="inlineStr">
        <is>
          <t>From PARAMETERS — override if needed</t>
        </is>
      </c>
    </row>
    <row r="17" ht="8" customHeight="1"/>
    <row r="18" ht="48" customHeight="1">
      <c r="A18" s="42" t="inlineStr">
        <is>
          <t>ℹ  BRANCHING GUIDANCE:  Enter each pipe branch as one row. Set 'HGL Start' (col H) manually:  • First pipe from reservoir: type  =B14  (reservoir HWL).  • Continuation (series): type  =S{previous_row}  to link to the preceding pipe's HGL End.  • Branch from junction: type  =S{junction_row}  to link to the junction node's HGL End.  Flow Q = flow carried by THAT branch only (not cumulative upstream flow).  Colour coding shows hydraulic status instantly.</t>
        </is>
      </c>
    </row>
    <row r="19" ht="18" customHeight="1">
      <c r="A19" s="3" t="inlineStr">
        <is>
          <t>STATUS KEY:</t>
        </is>
      </c>
      <c r="E19" s="58" t="inlineStr">
        <is>
          <t>✓ OK</t>
        </is>
      </c>
      <c r="F19" s="59" t="inlineStr">
        <is>
          <t>⚠ LOW VELOCITY</t>
        </is>
      </c>
      <c r="G19" s="60" t="inlineStr">
        <is>
          <t>⚠ HIGH VELOCITY</t>
        </is>
      </c>
      <c r="H19" s="60" t="inlineStr">
        <is>
          <t>⚠ LOW PRESSURE</t>
        </is>
      </c>
      <c r="I19" s="60" t="inlineStr">
        <is>
          <t>⚠ SIZE N/A</t>
        </is>
      </c>
    </row>
    <row r="20" ht="8" customHeight="1"/>
    <row r="21" ht="48" customHeight="1">
      <c r="A21" s="8" t="inlineStr">
        <is>
          <t>#</t>
        </is>
      </c>
      <c r="B21" s="8" t="inlineStr">
        <is>
          <t>From
Node</t>
        </is>
      </c>
      <c r="C21" s="8" t="inlineStr">
        <is>
          <t>To
Node</t>
        </is>
      </c>
      <c r="D21" s="8" t="inlineStr">
        <is>
          <t>Length
(m)</t>
        </is>
      </c>
      <c r="E21" s="8" t="inlineStr">
        <is>
          <t>From Elev
(m ASL)</t>
        </is>
      </c>
      <c r="F21" s="8" t="inlineStr">
        <is>
          <t>To Elev
(m ASL)</t>
        </is>
      </c>
      <c r="G21" s="8" t="inlineStr">
        <is>
          <t>Flow Q
(L/s)</t>
        </is>
      </c>
      <c r="H21" s="8" t="inlineStr">
        <is>
          <t>HGL Start
(m ASL)
[INPUT]</t>
        </is>
      </c>
      <c r="I21" s="8" t="inlineStr">
        <is>
          <t>Max Working
Pressure (m)</t>
        </is>
      </c>
      <c r="J21" s="8" t="inlineStr">
        <is>
          <t>Auto
PN Num</t>
        </is>
      </c>
      <c r="K21" s="8" t="inlineStr">
        <is>
          <t>Auto
PN Rating</t>
        </is>
      </c>
      <c r="L21" s="8" t="inlineStr">
        <is>
          <t>Min D_req
(mm)</t>
        </is>
      </c>
      <c r="M21" s="8" t="inlineStr">
        <is>
          <t>Auto OD
(mm)</t>
        </is>
      </c>
      <c r="N21" s="8" t="inlineStr">
        <is>
          <t>Actual ID
(mm)</t>
        </is>
      </c>
      <c r="O21" s="8" t="inlineStr">
        <is>
          <t>Velocity
(m/s)</t>
        </is>
      </c>
      <c r="P21" s="8" t="inlineStr">
        <is>
          <t>Friction
hf (m)</t>
        </is>
      </c>
      <c r="Q21" s="8" t="inlineStr">
        <is>
          <t>Minor
Loss (m)</t>
        </is>
      </c>
      <c r="R21" s="8" t="inlineStr">
        <is>
          <t>Total
Loss (m)</t>
        </is>
      </c>
      <c r="S21" s="8" t="inlineStr">
        <is>
          <t>HGL End
(m ASL)</t>
        </is>
      </c>
      <c r="T21" s="8" t="inlineStr">
        <is>
          <t>Pressure
at End (m)</t>
        </is>
      </c>
      <c r="U21" s="8" t="inlineStr">
        <is>
          <t>Status</t>
        </is>
      </c>
    </row>
    <row r="22" ht="18" customHeight="1">
      <c r="A22" s="43" t="n">
        <v>1</v>
      </c>
      <c r="B22" s="5" t="n"/>
      <c r="C22" s="5" t="n"/>
      <c r="D22" s="44" t="n"/>
      <c r="E22" s="23" t="n"/>
      <c r="F22" s="23" t="n"/>
      <c r="G22" s="23" t="n"/>
      <c r="H22" s="46">
        <f>$B$14</f>
        <v/>
      </c>
      <c r="I22" s="61">
        <f>IF(OR(E22="",H22=""),"",IFERROR(H22-MIN(E22,F22),0))</f>
        <v/>
      </c>
      <c r="J22" s="50">
        <f>IF(I22="""","""",IF(I22&lt;=PARAMETERS!$C$13/PARAMETERS!$C$17,6,IF(I22&lt;=PARAMETERS!$C$14/PARAMETERS!$C$17,10,IF(I22&lt;=PARAMETERS!$C$15/PARAMETERS!$C$17,16,20))))</f>
        <v/>
      </c>
      <c r="K22" s="50">
        <f>IF(J22="""","""",IF(J22=6,"PN - 6",IF(J22=10,"PN - 10",IF(J22=16,"PN - 16","PN - 20"))))</f>
        <v/>
      </c>
      <c r="L22" s="61">
        <f>IF(G22&lt;=0,"""",IFERROR(MAX(1000*((10.67*(G22/1000)^1.852)/(PARAMETERS!$C$5^1.852*($B$16/1000)))^(1/4.87),1000*SQRT(4*(G22/1000)/(PI()*PARAMETERS!$C$9))),0))</f>
        <v/>
      </c>
      <c r="M22" s="49">
        <f>IF(OR(G22&lt;=0,L22=""""),"""",IFERROR(AGGREGATE(15,6,PIPE_DB!$B$4:$B$77/((PIPE_DB!$E$4:$E$77&gt;=L22)*(PIPE_DB!$D$4:$D$77=J22)),1),"SIZE N/A"))</f>
        <v/>
      </c>
      <c r="N22" s="45">
        <f>IF(OR(M22="""",M22="SIZE N/A",NOT(ISNUMBER(M22))),"""",IFERROR(SUMPRODUCT((PIPE_DB!$B$4:$B$77=M22)*(PIPE_DB!$D$4:$D$77=J22)*PIPE_DB!$E$4:$E$77),0))</f>
        <v/>
      </c>
      <c r="O22" s="51">
        <f>IF(OR(G22&lt;=0,N22="""",NOT(ISNUMBER(N22))),"""",IFERROR(4*(G22/1000)/(PI()*(N22/1000)^2),0))</f>
        <v/>
      </c>
      <c r="P22" s="51">
        <f>IF(OR(G22&lt;=0,N22="""",NOT(ISNUMBER(N22))),"""",IFERROR(10.67*D22*(G22/1000)^1.852/(PARAMETERS!$C$5^1.852*(N22/1000)^4.87),0))</f>
        <v/>
      </c>
      <c r="Q22" s="51">
        <f>IF(P22="""","""",IFERROR(PARAMETERS!$C$10*P22,0))</f>
        <v/>
      </c>
      <c r="R22" s="51">
        <f>IF(P22="""","""",IFERROR(P22+Q22,0))</f>
        <v/>
      </c>
      <c r="S22" s="10">
        <f>IF(OR(H22="""",R22=""""),"""",IFERROR(H22-R22,0))</f>
        <v/>
      </c>
      <c r="T22" s="45">
        <f>IF(S22="""","""",IFERROR(S22-F22,0))</f>
        <v/>
      </c>
      <c r="U22" s="50">
        <f>IF(M22="""","""",IF(M22="SIZE N/A","⚠ SIZE N/A",IF(O22="""","""",IF(AND(O22&gt;=PARAMETERS!$C$8,O22&lt;=PARAMETERS!$C$9,T22&gt;=PARAMETERS!$C$20),"✓ OK",IF(O22&lt;PARAMETERS!$C$8,"⚠ LOW VELOCITY",IF(O22&gt;PARAMETERS!$C$9,"⚠ HIGH VELOCITY","⚠ LOW PRESSURE"))))))</f>
        <v/>
      </c>
    </row>
    <row r="23" ht="18" customHeight="1">
      <c r="A23" s="43" t="n">
        <v>2</v>
      </c>
      <c r="B23" s="5" t="n"/>
      <c r="C23" s="5" t="n"/>
      <c r="D23" s="44" t="n"/>
      <c r="E23" s="23" t="n"/>
      <c r="F23" s="23" t="n"/>
      <c r="G23" s="23" t="n"/>
      <c r="H23" s="23" t="n"/>
      <c r="I23" s="61">
        <f>IF(OR(E23="",H23=""),"",IFERROR(H23-MIN(E23,F23),0))</f>
        <v/>
      </c>
      <c r="J23" s="50">
        <f>IF(I23="""","""",IF(I23&lt;=PARAMETERS!$C$13/PARAMETERS!$C$17,6,IF(I23&lt;=PARAMETERS!$C$14/PARAMETERS!$C$17,10,IF(I23&lt;=PARAMETERS!$C$15/PARAMETERS!$C$17,16,20))))</f>
        <v/>
      </c>
      <c r="K23" s="50">
        <f>IF(J23="""","""",IF(J23=6,"PN - 6",IF(J23=10,"PN - 10",IF(J23=16,"PN - 16","PN - 20"))))</f>
        <v/>
      </c>
      <c r="L23" s="61">
        <f>IF(G23&lt;=0,"""",IFERROR(MAX(1000*((10.67*(G23/1000)^1.852)/(PARAMETERS!$C$5^1.852*($B$16/1000)))^(1/4.87),1000*SQRT(4*(G23/1000)/(PI()*PARAMETERS!$C$9))),0))</f>
        <v/>
      </c>
      <c r="M23" s="49">
        <f>IF(OR(G23&lt;=0,L23=""""),"""",IFERROR(AGGREGATE(15,6,PIPE_DB!$B$4:$B$77/((PIPE_DB!$E$4:$E$77&gt;=L23)*(PIPE_DB!$D$4:$D$77=J23)),1),"SIZE N/A"))</f>
        <v/>
      </c>
      <c r="N23" s="45">
        <f>IF(OR(M23="""",M23="SIZE N/A",NOT(ISNUMBER(M23))),"""",IFERROR(SUMPRODUCT((PIPE_DB!$B$4:$B$77=M23)*(PIPE_DB!$D$4:$D$77=J23)*PIPE_DB!$E$4:$E$77),0))</f>
        <v/>
      </c>
      <c r="O23" s="51">
        <f>IF(OR(G23&lt;=0,N23="""",NOT(ISNUMBER(N23))),"""",IFERROR(4*(G23/1000)/(PI()*(N23/1000)^2),0))</f>
        <v/>
      </c>
      <c r="P23" s="51">
        <f>IF(OR(G23&lt;=0,N23="""",NOT(ISNUMBER(N23))),"""",IFERROR(10.67*D23*(G23/1000)^1.852/(PARAMETERS!$C$5^1.852*(N23/1000)^4.87),0))</f>
        <v/>
      </c>
      <c r="Q23" s="51">
        <f>IF(P23="""","""",IFERROR(PARAMETERS!$C$10*P23,0))</f>
        <v/>
      </c>
      <c r="R23" s="51">
        <f>IF(P23="""","""",IFERROR(P23+Q23,0))</f>
        <v/>
      </c>
      <c r="S23" s="10">
        <f>IF(OR(H23="""",R23=""""),"""",IFERROR(H23-R23,0))</f>
        <v/>
      </c>
      <c r="T23" s="45">
        <f>IF(S23="""","""",IFERROR(S23-F23,0))</f>
        <v/>
      </c>
      <c r="U23" s="50">
        <f>IF(M23="""","""",IF(M23="SIZE N/A","⚠ SIZE N/A",IF(O23="""","""",IF(AND(O23&gt;=PARAMETERS!$C$8,O23&lt;=PARAMETERS!$C$9,T23&gt;=PARAMETERS!$C$20),"✓ OK",IF(O23&lt;PARAMETERS!$C$8,"⚠ LOW VELOCITY",IF(O23&gt;PARAMETERS!$C$9,"⚠ HIGH VELOCITY","⚠ LOW PRESSURE"))))))</f>
        <v/>
      </c>
    </row>
    <row r="24" ht="18" customHeight="1">
      <c r="A24" s="43" t="n">
        <v>3</v>
      </c>
      <c r="B24" s="5" t="n"/>
      <c r="C24" s="5" t="n"/>
      <c r="D24" s="44" t="n"/>
      <c r="E24" s="23" t="n"/>
      <c r="F24" s="23" t="n"/>
      <c r="G24" s="23" t="n"/>
      <c r="H24" s="23" t="n"/>
      <c r="I24" s="61">
        <f>IF(OR(E24="",H24=""),"",IFERROR(H24-MIN(E24,F24),0))</f>
        <v/>
      </c>
      <c r="J24" s="50">
        <f>IF(I24="""","""",IF(I24&lt;=PARAMETERS!$C$13/PARAMETERS!$C$17,6,IF(I24&lt;=PARAMETERS!$C$14/PARAMETERS!$C$17,10,IF(I24&lt;=PARAMETERS!$C$15/PARAMETERS!$C$17,16,20))))</f>
        <v/>
      </c>
      <c r="K24" s="50">
        <f>IF(J24="""","""",IF(J24=6,"PN - 6",IF(J24=10,"PN - 10",IF(J24=16,"PN - 16","PN - 20"))))</f>
        <v/>
      </c>
      <c r="L24" s="61">
        <f>IF(G24&lt;=0,"""",IFERROR(MAX(1000*((10.67*(G24/1000)^1.852)/(PARAMETERS!$C$5^1.852*($B$16/1000)))^(1/4.87),1000*SQRT(4*(G24/1000)/(PI()*PARAMETERS!$C$9))),0))</f>
        <v/>
      </c>
      <c r="M24" s="49">
        <f>IF(OR(G24&lt;=0,L24=""""),"""",IFERROR(AGGREGATE(15,6,PIPE_DB!$B$4:$B$77/((PIPE_DB!$E$4:$E$77&gt;=L24)*(PIPE_DB!$D$4:$D$77=J24)),1),"SIZE N/A"))</f>
        <v/>
      </c>
      <c r="N24" s="45">
        <f>IF(OR(M24="""",M24="SIZE N/A",NOT(ISNUMBER(M24))),"""",IFERROR(SUMPRODUCT((PIPE_DB!$B$4:$B$77=M24)*(PIPE_DB!$D$4:$D$77=J24)*PIPE_DB!$E$4:$E$77),0))</f>
        <v/>
      </c>
      <c r="O24" s="51">
        <f>IF(OR(G24&lt;=0,N24="""",NOT(ISNUMBER(N24))),"""",IFERROR(4*(G24/1000)/(PI()*(N24/1000)^2),0))</f>
        <v/>
      </c>
      <c r="P24" s="51">
        <f>IF(OR(G24&lt;=0,N24="""",NOT(ISNUMBER(N24))),"""",IFERROR(10.67*D24*(G24/1000)^1.852/(PARAMETERS!$C$5^1.852*(N24/1000)^4.87),0))</f>
        <v/>
      </c>
      <c r="Q24" s="51">
        <f>IF(P24="""","""",IFERROR(PARAMETERS!$C$10*P24,0))</f>
        <v/>
      </c>
      <c r="R24" s="51">
        <f>IF(P24="""","""",IFERROR(P24+Q24,0))</f>
        <v/>
      </c>
      <c r="S24" s="10">
        <f>IF(OR(H24="""",R24=""""),"""",IFERROR(H24-R24,0))</f>
        <v/>
      </c>
      <c r="T24" s="45">
        <f>IF(S24="""","""",IFERROR(S24-F24,0))</f>
        <v/>
      </c>
      <c r="U24" s="50">
        <f>IF(M24="""","""",IF(M24="SIZE N/A","⚠ SIZE N/A",IF(O24="""","""",IF(AND(O24&gt;=PARAMETERS!$C$8,O24&lt;=PARAMETERS!$C$9,T24&gt;=PARAMETERS!$C$20),"✓ OK",IF(O24&lt;PARAMETERS!$C$8,"⚠ LOW VELOCITY",IF(O24&gt;PARAMETERS!$C$9,"⚠ HIGH VELOCITY","⚠ LOW PRESSURE"))))))</f>
        <v/>
      </c>
    </row>
    <row r="25" ht="18" customHeight="1">
      <c r="A25" s="43" t="n">
        <v>4</v>
      </c>
      <c r="B25" s="5" t="n"/>
      <c r="C25" s="5" t="n"/>
      <c r="D25" s="44" t="n"/>
      <c r="E25" s="23" t="n"/>
      <c r="F25" s="23" t="n"/>
      <c r="G25" s="23" t="n"/>
      <c r="H25" s="23" t="n"/>
      <c r="I25" s="61">
        <f>IF(OR(E25="",H25=""),"",IFERROR(H25-MIN(E25,F25),0))</f>
        <v/>
      </c>
      <c r="J25" s="50">
        <f>IF(I25="""","""",IF(I25&lt;=PARAMETERS!$C$13/PARAMETERS!$C$17,6,IF(I25&lt;=PARAMETERS!$C$14/PARAMETERS!$C$17,10,IF(I25&lt;=PARAMETERS!$C$15/PARAMETERS!$C$17,16,20))))</f>
        <v/>
      </c>
      <c r="K25" s="50">
        <f>IF(J25="""","""",IF(J25=6,"PN - 6",IF(J25=10,"PN - 10",IF(J25=16,"PN - 16","PN - 20"))))</f>
        <v/>
      </c>
      <c r="L25" s="61">
        <f>IF(G25&lt;=0,"""",IFERROR(MAX(1000*((10.67*(G25/1000)^1.852)/(PARAMETERS!$C$5^1.852*($B$16/1000)))^(1/4.87),1000*SQRT(4*(G25/1000)/(PI()*PARAMETERS!$C$9))),0))</f>
        <v/>
      </c>
      <c r="M25" s="49">
        <f>IF(OR(G25&lt;=0,L25=""""),"""",IFERROR(AGGREGATE(15,6,PIPE_DB!$B$4:$B$77/((PIPE_DB!$E$4:$E$77&gt;=L25)*(PIPE_DB!$D$4:$D$77=J25)),1),"SIZE N/A"))</f>
        <v/>
      </c>
      <c r="N25" s="45">
        <f>IF(OR(M25="""",M25="SIZE N/A",NOT(ISNUMBER(M25))),"""",IFERROR(SUMPRODUCT((PIPE_DB!$B$4:$B$77=M25)*(PIPE_DB!$D$4:$D$77=J25)*PIPE_DB!$E$4:$E$77),0))</f>
        <v/>
      </c>
      <c r="O25" s="51">
        <f>IF(OR(G25&lt;=0,N25="""",NOT(ISNUMBER(N25))),"""",IFERROR(4*(G25/1000)/(PI()*(N25/1000)^2),0))</f>
        <v/>
      </c>
      <c r="P25" s="51">
        <f>IF(OR(G25&lt;=0,N25="""",NOT(ISNUMBER(N25))),"""",IFERROR(10.67*D25*(G25/1000)^1.852/(PARAMETERS!$C$5^1.852*(N25/1000)^4.87),0))</f>
        <v/>
      </c>
      <c r="Q25" s="51">
        <f>IF(P25="""","""",IFERROR(PARAMETERS!$C$10*P25,0))</f>
        <v/>
      </c>
      <c r="R25" s="51">
        <f>IF(P25="""","""",IFERROR(P25+Q25,0))</f>
        <v/>
      </c>
      <c r="S25" s="10">
        <f>IF(OR(H25="""",R25=""""),"""",IFERROR(H25-R25,0))</f>
        <v/>
      </c>
      <c r="T25" s="45">
        <f>IF(S25="""","""",IFERROR(S25-F25,0))</f>
        <v/>
      </c>
      <c r="U25" s="50">
        <f>IF(M25="""","""",IF(M25="SIZE N/A","⚠ SIZE N/A",IF(O25="""","""",IF(AND(O25&gt;=PARAMETERS!$C$8,O25&lt;=PARAMETERS!$C$9,T25&gt;=PARAMETERS!$C$20),"✓ OK",IF(O25&lt;PARAMETERS!$C$8,"⚠ LOW VELOCITY",IF(O25&gt;PARAMETERS!$C$9,"⚠ HIGH VELOCITY","⚠ LOW PRESSURE"))))))</f>
        <v/>
      </c>
    </row>
    <row r="26" ht="18" customHeight="1">
      <c r="A26" s="43" t="n">
        <v>5</v>
      </c>
      <c r="B26" s="5" t="n"/>
      <c r="C26" s="5" t="n"/>
      <c r="D26" s="44" t="n"/>
      <c r="E26" s="23" t="n"/>
      <c r="F26" s="23" t="n"/>
      <c r="G26" s="23" t="n"/>
      <c r="H26" s="23" t="n"/>
      <c r="I26" s="61">
        <f>IF(OR(E26="",H26=""),"",IFERROR(H26-MIN(E26,F26),0))</f>
        <v/>
      </c>
      <c r="J26" s="50">
        <f>IF(I26="""","""",IF(I26&lt;=PARAMETERS!$C$13/PARAMETERS!$C$17,6,IF(I26&lt;=PARAMETERS!$C$14/PARAMETERS!$C$17,10,IF(I26&lt;=PARAMETERS!$C$15/PARAMETERS!$C$17,16,20))))</f>
        <v/>
      </c>
      <c r="K26" s="50">
        <f>IF(J26="""","""",IF(J26=6,"PN - 6",IF(J26=10,"PN - 10",IF(J26=16,"PN - 16","PN - 20"))))</f>
        <v/>
      </c>
      <c r="L26" s="61">
        <f>IF(G26&lt;=0,"""",IFERROR(MAX(1000*((10.67*(G26/1000)^1.852)/(PARAMETERS!$C$5^1.852*($B$16/1000)))^(1/4.87),1000*SQRT(4*(G26/1000)/(PI()*PARAMETERS!$C$9))),0))</f>
        <v/>
      </c>
      <c r="M26" s="49">
        <f>IF(OR(G26&lt;=0,L26=""""),"""",IFERROR(AGGREGATE(15,6,PIPE_DB!$B$4:$B$77/((PIPE_DB!$E$4:$E$77&gt;=L26)*(PIPE_DB!$D$4:$D$77=J26)),1),"SIZE N/A"))</f>
        <v/>
      </c>
      <c r="N26" s="45">
        <f>IF(OR(M26="""",M26="SIZE N/A",NOT(ISNUMBER(M26))),"""",IFERROR(SUMPRODUCT((PIPE_DB!$B$4:$B$77=M26)*(PIPE_DB!$D$4:$D$77=J26)*PIPE_DB!$E$4:$E$77),0))</f>
        <v/>
      </c>
      <c r="O26" s="51">
        <f>IF(OR(G26&lt;=0,N26="""",NOT(ISNUMBER(N26))),"""",IFERROR(4*(G26/1000)/(PI()*(N26/1000)^2),0))</f>
        <v/>
      </c>
      <c r="P26" s="51">
        <f>IF(OR(G26&lt;=0,N26="""",NOT(ISNUMBER(N26))),"""",IFERROR(10.67*D26*(G26/1000)^1.852/(PARAMETERS!$C$5^1.852*(N26/1000)^4.87),0))</f>
        <v/>
      </c>
      <c r="Q26" s="51">
        <f>IF(P26="""","""",IFERROR(PARAMETERS!$C$10*P26,0))</f>
        <v/>
      </c>
      <c r="R26" s="51">
        <f>IF(P26="""","""",IFERROR(P26+Q26,0))</f>
        <v/>
      </c>
      <c r="S26" s="10">
        <f>IF(OR(H26="""",R26=""""),"""",IFERROR(H26-R26,0))</f>
        <v/>
      </c>
      <c r="T26" s="45">
        <f>IF(S26="""","""",IFERROR(S26-F26,0))</f>
        <v/>
      </c>
      <c r="U26" s="50">
        <f>IF(M26="""","""",IF(M26="SIZE N/A","⚠ SIZE N/A",IF(O26="""","""",IF(AND(O26&gt;=PARAMETERS!$C$8,O26&lt;=PARAMETERS!$C$9,T26&gt;=PARAMETERS!$C$20),"✓ OK",IF(O26&lt;PARAMETERS!$C$8,"⚠ LOW VELOCITY",IF(O26&gt;PARAMETERS!$C$9,"⚠ HIGH VELOCITY","⚠ LOW PRESSURE"))))))</f>
        <v/>
      </c>
    </row>
    <row r="27" ht="18" customHeight="1">
      <c r="A27" s="43" t="n">
        <v>6</v>
      </c>
      <c r="B27" s="5" t="n"/>
      <c r="C27" s="5" t="n"/>
      <c r="D27" s="44" t="n"/>
      <c r="E27" s="23" t="n"/>
      <c r="F27" s="23" t="n"/>
      <c r="G27" s="23" t="n"/>
      <c r="H27" s="23" t="n"/>
      <c r="I27" s="61">
        <f>IF(OR(E27="",H27=""),"",IFERROR(H27-MIN(E27,F27),0))</f>
        <v/>
      </c>
      <c r="J27" s="50">
        <f>IF(I27="""","""",IF(I27&lt;=PARAMETERS!$C$13/PARAMETERS!$C$17,6,IF(I27&lt;=PARAMETERS!$C$14/PARAMETERS!$C$17,10,IF(I27&lt;=PARAMETERS!$C$15/PARAMETERS!$C$17,16,20))))</f>
        <v/>
      </c>
      <c r="K27" s="50">
        <f>IF(J27="""","""",IF(J27=6,"PN - 6",IF(J27=10,"PN - 10",IF(J27=16,"PN - 16","PN - 20"))))</f>
        <v/>
      </c>
      <c r="L27" s="61">
        <f>IF(G27&lt;=0,"""",IFERROR(MAX(1000*((10.67*(G27/1000)^1.852)/(PARAMETERS!$C$5^1.852*($B$16/1000)))^(1/4.87),1000*SQRT(4*(G27/1000)/(PI()*PARAMETERS!$C$9))),0))</f>
        <v/>
      </c>
      <c r="M27" s="49">
        <f>IF(OR(G27&lt;=0,L27=""""),"""",IFERROR(AGGREGATE(15,6,PIPE_DB!$B$4:$B$77/((PIPE_DB!$E$4:$E$77&gt;=L27)*(PIPE_DB!$D$4:$D$77=J27)),1),"SIZE N/A"))</f>
        <v/>
      </c>
      <c r="N27" s="45">
        <f>IF(OR(M27="""",M27="SIZE N/A",NOT(ISNUMBER(M27))),"""",IFERROR(SUMPRODUCT((PIPE_DB!$B$4:$B$77=M27)*(PIPE_DB!$D$4:$D$77=J27)*PIPE_DB!$E$4:$E$77),0))</f>
        <v/>
      </c>
      <c r="O27" s="51">
        <f>IF(OR(G27&lt;=0,N27="""",NOT(ISNUMBER(N27))),"""",IFERROR(4*(G27/1000)/(PI()*(N27/1000)^2),0))</f>
        <v/>
      </c>
      <c r="P27" s="51">
        <f>IF(OR(G27&lt;=0,N27="""",NOT(ISNUMBER(N27))),"""",IFERROR(10.67*D27*(G27/1000)^1.852/(PARAMETERS!$C$5^1.852*(N27/1000)^4.87),0))</f>
        <v/>
      </c>
      <c r="Q27" s="51">
        <f>IF(P27="""","""",IFERROR(PARAMETERS!$C$10*P27,0))</f>
        <v/>
      </c>
      <c r="R27" s="51">
        <f>IF(P27="""","""",IFERROR(P27+Q27,0))</f>
        <v/>
      </c>
      <c r="S27" s="10">
        <f>IF(OR(H27="""",R27=""""),"""",IFERROR(H27-R27,0))</f>
        <v/>
      </c>
      <c r="T27" s="45">
        <f>IF(S27="""","""",IFERROR(S27-F27,0))</f>
        <v/>
      </c>
      <c r="U27" s="50">
        <f>IF(M27="""","""",IF(M27="SIZE N/A","⚠ SIZE N/A",IF(O27="""","""",IF(AND(O27&gt;=PARAMETERS!$C$8,O27&lt;=PARAMETERS!$C$9,T27&gt;=PARAMETERS!$C$20),"✓ OK",IF(O27&lt;PARAMETERS!$C$8,"⚠ LOW VELOCITY",IF(O27&gt;PARAMETERS!$C$9,"⚠ HIGH VELOCITY","⚠ LOW PRESSURE"))))))</f>
        <v/>
      </c>
    </row>
    <row r="28" ht="18" customHeight="1">
      <c r="A28" s="43" t="n">
        <v>7</v>
      </c>
      <c r="B28" s="5" t="n"/>
      <c r="C28" s="5" t="n"/>
      <c r="D28" s="44" t="n"/>
      <c r="E28" s="23" t="n"/>
      <c r="F28" s="23" t="n"/>
      <c r="G28" s="23" t="n"/>
      <c r="H28" s="23" t="n"/>
      <c r="I28" s="61">
        <f>IF(OR(E28="",H28=""),"",IFERROR(H28-MIN(E28,F28),0))</f>
        <v/>
      </c>
      <c r="J28" s="50">
        <f>IF(I28="""","""",IF(I28&lt;=PARAMETERS!$C$13/PARAMETERS!$C$17,6,IF(I28&lt;=PARAMETERS!$C$14/PARAMETERS!$C$17,10,IF(I28&lt;=PARAMETERS!$C$15/PARAMETERS!$C$17,16,20))))</f>
        <v/>
      </c>
      <c r="K28" s="50">
        <f>IF(J28="""","""",IF(J28=6,"PN - 6",IF(J28=10,"PN - 10",IF(J28=16,"PN - 16","PN - 20"))))</f>
        <v/>
      </c>
      <c r="L28" s="61">
        <f>IF(G28&lt;=0,"""",IFERROR(MAX(1000*((10.67*(G28/1000)^1.852)/(PARAMETERS!$C$5^1.852*($B$16/1000)))^(1/4.87),1000*SQRT(4*(G28/1000)/(PI()*PARAMETERS!$C$9))),0))</f>
        <v/>
      </c>
      <c r="M28" s="49">
        <f>IF(OR(G28&lt;=0,L28=""""),"""",IFERROR(AGGREGATE(15,6,PIPE_DB!$B$4:$B$77/((PIPE_DB!$E$4:$E$77&gt;=L28)*(PIPE_DB!$D$4:$D$77=J28)),1),"SIZE N/A"))</f>
        <v/>
      </c>
      <c r="N28" s="45">
        <f>IF(OR(M28="""",M28="SIZE N/A",NOT(ISNUMBER(M28))),"""",IFERROR(SUMPRODUCT((PIPE_DB!$B$4:$B$77=M28)*(PIPE_DB!$D$4:$D$77=J28)*PIPE_DB!$E$4:$E$77),0))</f>
        <v/>
      </c>
      <c r="O28" s="51">
        <f>IF(OR(G28&lt;=0,N28="""",NOT(ISNUMBER(N28))),"""",IFERROR(4*(G28/1000)/(PI()*(N28/1000)^2),0))</f>
        <v/>
      </c>
      <c r="P28" s="51">
        <f>IF(OR(G28&lt;=0,N28="""",NOT(ISNUMBER(N28))),"""",IFERROR(10.67*D28*(G28/1000)^1.852/(PARAMETERS!$C$5^1.852*(N28/1000)^4.87),0))</f>
        <v/>
      </c>
      <c r="Q28" s="51">
        <f>IF(P28="""","""",IFERROR(PARAMETERS!$C$10*P28,0))</f>
        <v/>
      </c>
      <c r="R28" s="51">
        <f>IF(P28="""","""",IFERROR(P28+Q28,0))</f>
        <v/>
      </c>
      <c r="S28" s="10">
        <f>IF(OR(H28="""",R28=""""),"""",IFERROR(H28-R28,0))</f>
        <v/>
      </c>
      <c r="T28" s="45">
        <f>IF(S28="""","""",IFERROR(S28-F28,0))</f>
        <v/>
      </c>
      <c r="U28" s="50">
        <f>IF(M28="""","""",IF(M28="SIZE N/A","⚠ SIZE N/A",IF(O28="""","""",IF(AND(O28&gt;=PARAMETERS!$C$8,O28&lt;=PARAMETERS!$C$9,T28&gt;=PARAMETERS!$C$20),"✓ OK",IF(O28&lt;PARAMETERS!$C$8,"⚠ LOW VELOCITY",IF(O28&gt;PARAMETERS!$C$9,"⚠ HIGH VELOCITY","⚠ LOW PRESSURE"))))))</f>
        <v/>
      </c>
    </row>
    <row r="29" ht="18" customHeight="1">
      <c r="A29" s="43" t="n">
        <v>8</v>
      </c>
      <c r="B29" s="5" t="n"/>
      <c r="C29" s="5" t="n"/>
      <c r="D29" s="44" t="n"/>
      <c r="E29" s="23" t="n"/>
      <c r="F29" s="23" t="n"/>
      <c r="G29" s="23" t="n"/>
      <c r="H29" s="23" t="n"/>
      <c r="I29" s="61">
        <f>IF(OR(E29="",H29=""),"",IFERROR(H29-MIN(E29,F29),0))</f>
        <v/>
      </c>
      <c r="J29" s="50">
        <f>IF(I29="""","""",IF(I29&lt;=PARAMETERS!$C$13/PARAMETERS!$C$17,6,IF(I29&lt;=PARAMETERS!$C$14/PARAMETERS!$C$17,10,IF(I29&lt;=PARAMETERS!$C$15/PARAMETERS!$C$17,16,20))))</f>
        <v/>
      </c>
      <c r="K29" s="50">
        <f>IF(J29="""","""",IF(J29=6,"PN - 6",IF(J29=10,"PN - 10",IF(J29=16,"PN - 16","PN - 20"))))</f>
        <v/>
      </c>
      <c r="L29" s="61">
        <f>IF(G29&lt;=0,"""",IFERROR(MAX(1000*((10.67*(G29/1000)^1.852)/(PARAMETERS!$C$5^1.852*($B$16/1000)))^(1/4.87),1000*SQRT(4*(G29/1000)/(PI()*PARAMETERS!$C$9))),0))</f>
        <v/>
      </c>
      <c r="M29" s="49">
        <f>IF(OR(G29&lt;=0,L29=""""),"""",IFERROR(AGGREGATE(15,6,PIPE_DB!$B$4:$B$77/((PIPE_DB!$E$4:$E$77&gt;=L29)*(PIPE_DB!$D$4:$D$77=J29)),1),"SIZE N/A"))</f>
        <v/>
      </c>
      <c r="N29" s="45">
        <f>IF(OR(M29="""",M29="SIZE N/A",NOT(ISNUMBER(M29))),"""",IFERROR(SUMPRODUCT((PIPE_DB!$B$4:$B$77=M29)*(PIPE_DB!$D$4:$D$77=J29)*PIPE_DB!$E$4:$E$77),0))</f>
        <v/>
      </c>
      <c r="O29" s="51">
        <f>IF(OR(G29&lt;=0,N29="""",NOT(ISNUMBER(N29))),"""",IFERROR(4*(G29/1000)/(PI()*(N29/1000)^2),0))</f>
        <v/>
      </c>
      <c r="P29" s="51">
        <f>IF(OR(G29&lt;=0,N29="""",NOT(ISNUMBER(N29))),"""",IFERROR(10.67*D29*(G29/1000)^1.852/(PARAMETERS!$C$5^1.852*(N29/1000)^4.87),0))</f>
        <v/>
      </c>
      <c r="Q29" s="51">
        <f>IF(P29="""","""",IFERROR(PARAMETERS!$C$10*P29,0))</f>
        <v/>
      </c>
      <c r="R29" s="51">
        <f>IF(P29="""","""",IFERROR(P29+Q29,0))</f>
        <v/>
      </c>
      <c r="S29" s="10">
        <f>IF(OR(H29="""",R29=""""),"""",IFERROR(H29-R29,0))</f>
        <v/>
      </c>
      <c r="T29" s="45">
        <f>IF(S29="""","""",IFERROR(S29-F29,0))</f>
        <v/>
      </c>
      <c r="U29" s="50">
        <f>IF(M29="""","""",IF(M29="SIZE N/A","⚠ SIZE N/A",IF(O29="""","""",IF(AND(O29&gt;=PARAMETERS!$C$8,O29&lt;=PARAMETERS!$C$9,T29&gt;=PARAMETERS!$C$20),"✓ OK",IF(O29&lt;PARAMETERS!$C$8,"⚠ LOW VELOCITY",IF(O29&gt;PARAMETERS!$C$9,"⚠ HIGH VELOCITY","⚠ LOW PRESSURE"))))))</f>
        <v/>
      </c>
    </row>
    <row r="30" ht="18" customHeight="1">
      <c r="A30" s="43" t="n">
        <v>9</v>
      </c>
      <c r="B30" s="5" t="n"/>
      <c r="C30" s="5" t="n"/>
      <c r="D30" s="44" t="n"/>
      <c r="E30" s="23" t="n"/>
      <c r="F30" s="23" t="n"/>
      <c r="G30" s="23" t="n"/>
      <c r="H30" s="23" t="n"/>
      <c r="I30" s="61">
        <f>IF(OR(E30="",H30=""),"",IFERROR(H30-MIN(E30,F30),0))</f>
        <v/>
      </c>
      <c r="J30" s="50">
        <f>IF(I30="""","""",IF(I30&lt;=PARAMETERS!$C$13/PARAMETERS!$C$17,6,IF(I30&lt;=PARAMETERS!$C$14/PARAMETERS!$C$17,10,IF(I30&lt;=PARAMETERS!$C$15/PARAMETERS!$C$17,16,20))))</f>
        <v/>
      </c>
      <c r="K30" s="50">
        <f>IF(J30="""","""",IF(J30=6,"PN - 6",IF(J30=10,"PN - 10",IF(J30=16,"PN - 16","PN - 20"))))</f>
        <v/>
      </c>
      <c r="L30" s="61">
        <f>IF(G30&lt;=0,"""",IFERROR(MAX(1000*((10.67*(G30/1000)^1.852)/(PARAMETERS!$C$5^1.852*($B$16/1000)))^(1/4.87),1000*SQRT(4*(G30/1000)/(PI()*PARAMETERS!$C$9))),0))</f>
        <v/>
      </c>
      <c r="M30" s="49">
        <f>IF(OR(G30&lt;=0,L30=""""),"""",IFERROR(AGGREGATE(15,6,PIPE_DB!$B$4:$B$77/((PIPE_DB!$E$4:$E$77&gt;=L30)*(PIPE_DB!$D$4:$D$77=J30)),1),"SIZE N/A"))</f>
        <v/>
      </c>
      <c r="N30" s="45">
        <f>IF(OR(M30="""",M30="SIZE N/A",NOT(ISNUMBER(M30))),"""",IFERROR(SUMPRODUCT((PIPE_DB!$B$4:$B$77=M30)*(PIPE_DB!$D$4:$D$77=J30)*PIPE_DB!$E$4:$E$77),0))</f>
        <v/>
      </c>
      <c r="O30" s="51">
        <f>IF(OR(G30&lt;=0,N30="""",NOT(ISNUMBER(N30))),"""",IFERROR(4*(G30/1000)/(PI()*(N30/1000)^2),0))</f>
        <v/>
      </c>
      <c r="P30" s="51">
        <f>IF(OR(G30&lt;=0,N30="""",NOT(ISNUMBER(N30))),"""",IFERROR(10.67*D30*(G30/1000)^1.852/(PARAMETERS!$C$5^1.852*(N30/1000)^4.87),0))</f>
        <v/>
      </c>
      <c r="Q30" s="51">
        <f>IF(P30="""","""",IFERROR(PARAMETERS!$C$10*P30,0))</f>
        <v/>
      </c>
      <c r="R30" s="51">
        <f>IF(P30="""","""",IFERROR(P30+Q30,0))</f>
        <v/>
      </c>
      <c r="S30" s="10">
        <f>IF(OR(H30="""",R30=""""),"""",IFERROR(H30-R30,0))</f>
        <v/>
      </c>
      <c r="T30" s="45">
        <f>IF(S30="""","""",IFERROR(S30-F30,0))</f>
        <v/>
      </c>
      <c r="U30" s="50">
        <f>IF(M30="""","""",IF(M30="SIZE N/A","⚠ SIZE N/A",IF(O30="""","""",IF(AND(O30&gt;=PARAMETERS!$C$8,O30&lt;=PARAMETERS!$C$9,T30&gt;=PARAMETERS!$C$20),"✓ OK",IF(O30&lt;PARAMETERS!$C$8,"⚠ LOW VELOCITY",IF(O30&gt;PARAMETERS!$C$9,"⚠ HIGH VELOCITY","⚠ LOW PRESSURE"))))))</f>
        <v/>
      </c>
    </row>
    <row r="31" ht="18" customHeight="1">
      <c r="A31" s="43" t="n">
        <v>10</v>
      </c>
      <c r="B31" s="5" t="n"/>
      <c r="C31" s="5" t="n"/>
      <c r="D31" s="44" t="n"/>
      <c r="E31" s="23" t="n"/>
      <c r="F31" s="23" t="n"/>
      <c r="G31" s="23" t="n"/>
      <c r="H31" s="23" t="n"/>
      <c r="I31" s="61">
        <f>IF(OR(E31="",H31=""),"",IFERROR(H31-MIN(E31,F31),0))</f>
        <v/>
      </c>
      <c r="J31" s="50">
        <f>IF(I31="""","""",IF(I31&lt;=PARAMETERS!$C$13/PARAMETERS!$C$17,6,IF(I31&lt;=PARAMETERS!$C$14/PARAMETERS!$C$17,10,IF(I31&lt;=PARAMETERS!$C$15/PARAMETERS!$C$17,16,20))))</f>
        <v/>
      </c>
      <c r="K31" s="50">
        <f>IF(J31="""","""",IF(J31=6,"PN - 6",IF(J31=10,"PN - 10",IF(J31=16,"PN - 16","PN - 20"))))</f>
        <v/>
      </c>
      <c r="L31" s="61">
        <f>IF(G31&lt;=0,"""",IFERROR(MAX(1000*((10.67*(G31/1000)^1.852)/(PARAMETERS!$C$5^1.852*($B$16/1000)))^(1/4.87),1000*SQRT(4*(G31/1000)/(PI()*PARAMETERS!$C$9))),0))</f>
        <v/>
      </c>
      <c r="M31" s="49">
        <f>IF(OR(G31&lt;=0,L31=""""),"""",IFERROR(AGGREGATE(15,6,PIPE_DB!$B$4:$B$77/((PIPE_DB!$E$4:$E$77&gt;=L31)*(PIPE_DB!$D$4:$D$77=J31)),1),"SIZE N/A"))</f>
        <v/>
      </c>
      <c r="N31" s="45">
        <f>IF(OR(M31="""",M31="SIZE N/A",NOT(ISNUMBER(M31))),"""",IFERROR(SUMPRODUCT((PIPE_DB!$B$4:$B$77=M31)*(PIPE_DB!$D$4:$D$77=J31)*PIPE_DB!$E$4:$E$77),0))</f>
        <v/>
      </c>
      <c r="O31" s="51">
        <f>IF(OR(G31&lt;=0,N31="""",NOT(ISNUMBER(N31))),"""",IFERROR(4*(G31/1000)/(PI()*(N31/1000)^2),0))</f>
        <v/>
      </c>
      <c r="P31" s="51">
        <f>IF(OR(G31&lt;=0,N31="""",NOT(ISNUMBER(N31))),"""",IFERROR(10.67*D31*(G31/1000)^1.852/(PARAMETERS!$C$5^1.852*(N31/1000)^4.87),0))</f>
        <v/>
      </c>
      <c r="Q31" s="51">
        <f>IF(P31="""","""",IFERROR(PARAMETERS!$C$10*P31,0))</f>
        <v/>
      </c>
      <c r="R31" s="51">
        <f>IF(P31="""","""",IFERROR(P31+Q31,0))</f>
        <v/>
      </c>
      <c r="S31" s="10">
        <f>IF(OR(H31="""",R31=""""),"""",IFERROR(H31-R31,0))</f>
        <v/>
      </c>
      <c r="T31" s="45">
        <f>IF(S31="""","""",IFERROR(S31-F31,0))</f>
        <v/>
      </c>
      <c r="U31" s="50">
        <f>IF(M31="""","""",IF(M31="SIZE N/A","⚠ SIZE N/A",IF(O31="""","""",IF(AND(O31&gt;=PARAMETERS!$C$8,O31&lt;=PARAMETERS!$C$9,T31&gt;=PARAMETERS!$C$20),"✓ OK",IF(O31&lt;PARAMETERS!$C$8,"⚠ LOW VELOCITY",IF(O31&gt;PARAMETERS!$C$9,"⚠ HIGH VELOCITY","⚠ LOW PRESSURE"))))))</f>
        <v/>
      </c>
    </row>
    <row r="32" ht="18" customHeight="1">
      <c r="A32" s="43" t="n">
        <v>11</v>
      </c>
      <c r="B32" s="5" t="n"/>
      <c r="C32" s="5" t="n"/>
      <c r="D32" s="44" t="n"/>
      <c r="E32" s="23" t="n"/>
      <c r="F32" s="23" t="n"/>
      <c r="G32" s="23" t="n"/>
      <c r="H32" s="23" t="n"/>
      <c r="I32" s="61">
        <f>IF(OR(E32="",H32=""),"",IFERROR(H32-MIN(E32,F32),0))</f>
        <v/>
      </c>
      <c r="J32" s="50">
        <f>IF(I32="""","""",IF(I32&lt;=PARAMETERS!$C$13/PARAMETERS!$C$17,6,IF(I32&lt;=PARAMETERS!$C$14/PARAMETERS!$C$17,10,IF(I32&lt;=PARAMETERS!$C$15/PARAMETERS!$C$17,16,20))))</f>
        <v/>
      </c>
      <c r="K32" s="50">
        <f>IF(J32="""","""",IF(J32=6,"PN - 6",IF(J32=10,"PN - 10",IF(J32=16,"PN - 16","PN - 20"))))</f>
        <v/>
      </c>
      <c r="L32" s="61">
        <f>IF(G32&lt;=0,"""",IFERROR(MAX(1000*((10.67*(G32/1000)^1.852)/(PARAMETERS!$C$5^1.852*($B$16/1000)))^(1/4.87),1000*SQRT(4*(G32/1000)/(PI()*PARAMETERS!$C$9))),0))</f>
        <v/>
      </c>
      <c r="M32" s="49">
        <f>IF(OR(G32&lt;=0,L32=""""),"""",IFERROR(AGGREGATE(15,6,PIPE_DB!$B$4:$B$77/((PIPE_DB!$E$4:$E$77&gt;=L32)*(PIPE_DB!$D$4:$D$77=J32)),1),"SIZE N/A"))</f>
        <v/>
      </c>
      <c r="N32" s="45">
        <f>IF(OR(M32="""",M32="SIZE N/A",NOT(ISNUMBER(M32))),"""",IFERROR(SUMPRODUCT((PIPE_DB!$B$4:$B$77=M32)*(PIPE_DB!$D$4:$D$77=J32)*PIPE_DB!$E$4:$E$77),0))</f>
        <v/>
      </c>
      <c r="O32" s="51">
        <f>IF(OR(G32&lt;=0,N32="""",NOT(ISNUMBER(N32))),"""",IFERROR(4*(G32/1000)/(PI()*(N32/1000)^2),0))</f>
        <v/>
      </c>
      <c r="P32" s="51">
        <f>IF(OR(G32&lt;=0,N32="""",NOT(ISNUMBER(N32))),"""",IFERROR(10.67*D32*(G32/1000)^1.852/(PARAMETERS!$C$5^1.852*(N32/1000)^4.87),0))</f>
        <v/>
      </c>
      <c r="Q32" s="51">
        <f>IF(P32="""","""",IFERROR(PARAMETERS!$C$10*P32,0))</f>
        <v/>
      </c>
      <c r="R32" s="51">
        <f>IF(P32="""","""",IFERROR(P32+Q32,0))</f>
        <v/>
      </c>
      <c r="S32" s="10">
        <f>IF(OR(H32="""",R32=""""),"""",IFERROR(H32-R32,0))</f>
        <v/>
      </c>
      <c r="T32" s="45">
        <f>IF(S32="""","""",IFERROR(S32-F32,0))</f>
        <v/>
      </c>
      <c r="U32" s="50">
        <f>IF(M32="""","""",IF(M32="SIZE N/A","⚠ SIZE N/A",IF(O32="""","""",IF(AND(O32&gt;=PARAMETERS!$C$8,O32&lt;=PARAMETERS!$C$9,T32&gt;=PARAMETERS!$C$20),"✓ OK",IF(O32&lt;PARAMETERS!$C$8,"⚠ LOW VELOCITY",IF(O32&gt;PARAMETERS!$C$9,"⚠ HIGH VELOCITY","⚠ LOW PRESSURE"))))))</f>
        <v/>
      </c>
    </row>
    <row r="33" ht="18" customHeight="1">
      <c r="A33" s="43" t="n">
        <v>12</v>
      </c>
      <c r="B33" s="5" t="n"/>
      <c r="C33" s="5" t="n"/>
      <c r="D33" s="44" t="n"/>
      <c r="E33" s="23" t="n"/>
      <c r="F33" s="23" t="n"/>
      <c r="G33" s="23" t="n"/>
      <c r="H33" s="23" t="n"/>
      <c r="I33" s="61">
        <f>IF(OR(E33="",H33=""),"",IFERROR(H33-MIN(E33,F33),0))</f>
        <v/>
      </c>
      <c r="J33" s="50">
        <f>IF(I33="""","""",IF(I33&lt;=PARAMETERS!$C$13/PARAMETERS!$C$17,6,IF(I33&lt;=PARAMETERS!$C$14/PARAMETERS!$C$17,10,IF(I33&lt;=PARAMETERS!$C$15/PARAMETERS!$C$17,16,20))))</f>
        <v/>
      </c>
      <c r="K33" s="50">
        <f>IF(J33="""","""",IF(J33=6,"PN - 6",IF(J33=10,"PN - 10",IF(J33=16,"PN - 16","PN - 20"))))</f>
        <v/>
      </c>
      <c r="L33" s="61">
        <f>IF(G33&lt;=0,"""",IFERROR(MAX(1000*((10.67*(G33/1000)^1.852)/(PARAMETERS!$C$5^1.852*($B$16/1000)))^(1/4.87),1000*SQRT(4*(G33/1000)/(PI()*PARAMETERS!$C$9))),0))</f>
        <v/>
      </c>
      <c r="M33" s="49">
        <f>IF(OR(G33&lt;=0,L33=""""),"""",IFERROR(AGGREGATE(15,6,PIPE_DB!$B$4:$B$77/((PIPE_DB!$E$4:$E$77&gt;=L33)*(PIPE_DB!$D$4:$D$77=J33)),1),"SIZE N/A"))</f>
        <v/>
      </c>
      <c r="N33" s="45">
        <f>IF(OR(M33="""",M33="SIZE N/A",NOT(ISNUMBER(M33))),"""",IFERROR(SUMPRODUCT((PIPE_DB!$B$4:$B$77=M33)*(PIPE_DB!$D$4:$D$77=J33)*PIPE_DB!$E$4:$E$77),0))</f>
        <v/>
      </c>
      <c r="O33" s="51">
        <f>IF(OR(G33&lt;=0,N33="""",NOT(ISNUMBER(N33))),"""",IFERROR(4*(G33/1000)/(PI()*(N33/1000)^2),0))</f>
        <v/>
      </c>
      <c r="P33" s="51">
        <f>IF(OR(G33&lt;=0,N33="""",NOT(ISNUMBER(N33))),"""",IFERROR(10.67*D33*(G33/1000)^1.852/(PARAMETERS!$C$5^1.852*(N33/1000)^4.87),0))</f>
        <v/>
      </c>
      <c r="Q33" s="51">
        <f>IF(P33="""","""",IFERROR(PARAMETERS!$C$10*P33,0))</f>
        <v/>
      </c>
      <c r="R33" s="51">
        <f>IF(P33="""","""",IFERROR(P33+Q33,0))</f>
        <v/>
      </c>
      <c r="S33" s="10">
        <f>IF(OR(H33="""",R33=""""),"""",IFERROR(H33-R33,0))</f>
        <v/>
      </c>
      <c r="T33" s="45">
        <f>IF(S33="""","""",IFERROR(S33-F33,0))</f>
        <v/>
      </c>
      <c r="U33" s="50">
        <f>IF(M33="""","""",IF(M33="SIZE N/A","⚠ SIZE N/A",IF(O33="""","""",IF(AND(O33&gt;=PARAMETERS!$C$8,O33&lt;=PARAMETERS!$C$9,T33&gt;=PARAMETERS!$C$20),"✓ OK",IF(O33&lt;PARAMETERS!$C$8,"⚠ LOW VELOCITY",IF(O33&gt;PARAMETERS!$C$9,"⚠ HIGH VELOCITY","⚠ LOW PRESSURE"))))))</f>
        <v/>
      </c>
    </row>
    <row r="34" ht="18" customHeight="1">
      <c r="A34" s="43" t="n">
        <v>13</v>
      </c>
      <c r="B34" s="5" t="n"/>
      <c r="C34" s="5" t="n"/>
      <c r="D34" s="44" t="n"/>
      <c r="E34" s="23" t="n"/>
      <c r="F34" s="23" t="n"/>
      <c r="G34" s="23" t="n"/>
      <c r="H34" s="23" t="n"/>
      <c r="I34" s="61">
        <f>IF(OR(E34="",H34=""),"",IFERROR(H34-MIN(E34,F34),0))</f>
        <v/>
      </c>
      <c r="J34" s="50">
        <f>IF(I34="""","""",IF(I34&lt;=PARAMETERS!$C$13/PARAMETERS!$C$17,6,IF(I34&lt;=PARAMETERS!$C$14/PARAMETERS!$C$17,10,IF(I34&lt;=PARAMETERS!$C$15/PARAMETERS!$C$17,16,20))))</f>
        <v/>
      </c>
      <c r="K34" s="50">
        <f>IF(J34="""","""",IF(J34=6,"PN - 6",IF(J34=10,"PN - 10",IF(J34=16,"PN - 16","PN - 20"))))</f>
        <v/>
      </c>
      <c r="L34" s="61">
        <f>IF(G34&lt;=0,"""",IFERROR(MAX(1000*((10.67*(G34/1000)^1.852)/(PARAMETERS!$C$5^1.852*($B$16/1000)))^(1/4.87),1000*SQRT(4*(G34/1000)/(PI()*PARAMETERS!$C$9))),0))</f>
        <v/>
      </c>
      <c r="M34" s="49">
        <f>IF(OR(G34&lt;=0,L34=""""),"""",IFERROR(AGGREGATE(15,6,PIPE_DB!$B$4:$B$77/((PIPE_DB!$E$4:$E$77&gt;=L34)*(PIPE_DB!$D$4:$D$77=J34)),1),"SIZE N/A"))</f>
        <v/>
      </c>
      <c r="N34" s="45">
        <f>IF(OR(M34="""",M34="SIZE N/A",NOT(ISNUMBER(M34))),"""",IFERROR(SUMPRODUCT((PIPE_DB!$B$4:$B$77=M34)*(PIPE_DB!$D$4:$D$77=J34)*PIPE_DB!$E$4:$E$77),0))</f>
        <v/>
      </c>
      <c r="O34" s="51">
        <f>IF(OR(G34&lt;=0,N34="""",NOT(ISNUMBER(N34))),"""",IFERROR(4*(G34/1000)/(PI()*(N34/1000)^2),0))</f>
        <v/>
      </c>
      <c r="P34" s="51">
        <f>IF(OR(G34&lt;=0,N34="""",NOT(ISNUMBER(N34))),"""",IFERROR(10.67*D34*(G34/1000)^1.852/(PARAMETERS!$C$5^1.852*(N34/1000)^4.87),0))</f>
        <v/>
      </c>
      <c r="Q34" s="51">
        <f>IF(P34="""","""",IFERROR(PARAMETERS!$C$10*P34,0))</f>
        <v/>
      </c>
      <c r="R34" s="51">
        <f>IF(P34="""","""",IFERROR(P34+Q34,0))</f>
        <v/>
      </c>
      <c r="S34" s="10">
        <f>IF(OR(H34="""",R34=""""),"""",IFERROR(H34-R34,0))</f>
        <v/>
      </c>
      <c r="T34" s="45">
        <f>IF(S34="""","""",IFERROR(S34-F34,0))</f>
        <v/>
      </c>
      <c r="U34" s="50">
        <f>IF(M34="""","""",IF(M34="SIZE N/A","⚠ SIZE N/A",IF(O34="""","""",IF(AND(O34&gt;=PARAMETERS!$C$8,O34&lt;=PARAMETERS!$C$9,T34&gt;=PARAMETERS!$C$20),"✓ OK",IF(O34&lt;PARAMETERS!$C$8,"⚠ LOW VELOCITY",IF(O34&gt;PARAMETERS!$C$9,"⚠ HIGH VELOCITY","⚠ LOW PRESSURE"))))))</f>
        <v/>
      </c>
    </row>
    <row r="35" ht="18" customHeight="1">
      <c r="A35" s="43" t="n">
        <v>14</v>
      </c>
      <c r="B35" s="5" t="n"/>
      <c r="C35" s="5" t="n"/>
      <c r="D35" s="44" t="n"/>
      <c r="E35" s="23" t="n"/>
      <c r="F35" s="23" t="n"/>
      <c r="G35" s="23" t="n"/>
      <c r="H35" s="23" t="n"/>
      <c r="I35" s="61">
        <f>IF(OR(E35="",H35=""),"",IFERROR(H35-MIN(E35,F35),0))</f>
        <v/>
      </c>
      <c r="J35" s="50">
        <f>IF(I35="""","""",IF(I35&lt;=PARAMETERS!$C$13/PARAMETERS!$C$17,6,IF(I35&lt;=PARAMETERS!$C$14/PARAMETERS!$C$17,10,IF(I35&lt;=PARAMETERS!$C$15/PARAMETERS!$C$17,16,20))))</f>
        <v/>
      </c>
      <c r="K35" s="50">
        <f>IF(J35="""","""",IF(J35=6,"PN - 6",IF(J35=10,"PN - 10",IF(J35=16,"PN - 16","PN - 20"))))</f>
        <v/>
      </c>
      <c r="L35" s="61">
        <f>IF(G35&lt;=0,"""",IFERROR(MAX(1000*((10.67*(G35/1000)^1.852)/(PARAMETERS!$C$5^1.852*($B$16/1000)))^(1/4.87),1000*SQRT(4*(G35/1000)/(PI()*PARAMETERS!$C$9))),0))</f>
        <v/>
      </c>
      <c r="M35" s="49">
        <f>IF(OR(G35&lt;=0,L35=""""),"""",IFERROR(AGGREGATE(15,6,PIPE_DB!$B$4:$B$77/((PIPE_DB!$E$4:$E$77&gt;=L35)*(PIPE_DB!$D$4:$D$77=J35)),1),"SIZE N/A"))</f>
        <v/>
      </c>
      <c r="N35" s="45">
        <f>IF(OR(M35="""",M35="SIZE N/A",NOT(ISNUMBER(M35))),"""",IFERROR(SUMPRODUCT((PIPE_DB!$B$4:$B$77=M35)*(PIPE_DB!$D$4:$D$77=J35)*PIPE_DB!$E$4:$E$77),0))</f>
        <v/>
      </c>
      <c r="O35" s="51">
        <f>IF(OR(G35&lt;=0,N35="""",NOT(ISNUMBER(N35))),"""",IFERROR(4*(G35/1000)/(PI()*(N35/1000)^2),0))</f>
        <v/>
      </c>
      <c r="P35" s="51">
        <f>IF(OR(G35&lt;=0,N35="""",NOT(ISNUMBER(N35))),"""",IFERROR(10.67*D35*(G35/1000)^1.852/(PARAMETERS!$C$5^1.852*(N35/1000)^4.87),0))</f>
        <v/>
      </c>
      <c r="Q35" s="51">
        <f>IF(P35="""","""",IFERROR(PARAMETERS!$C$10*P35,0))</f>
        <v/>
      </c>
      <c r="R35" s="51">
        <f>IF(P35="""","""",IFERROR(P35+Q35,0))</f>
        <v/>
      </c>
      <c r="S35" s="10">
        <f>IF(OR(H35="""",R35=""""),"""",IFERROR(H35-R35,0))</f>
        <v/>
      </c>
      <c r="T35" s="45">
        <f>IF(S35="""","""",IFERROR(S35-F35,0))</f>
        <v/>
      </c>
      <c r="U35" s="50">
        <f>IF(M35="""","""",IF(M35="SIZE N/A","⚠ SIZE N/A",IF(O35="""","""",IF(AND(O35&gt;=PARAMETERS!$C$8,O35&lt;=PARAMETERS!$C$9,T35&gt;=PARAMETERS!$C$20),"✓ OK",IF(O35&lt;PARAMETERS!$C$8,"⚠ LOW VELOCITY",IF(O35&gt;PARAMETERS!$C$9,"⚠ HIGH VELOCITY","⚠ LOW PRESSURE"))))))</f>
        <v/>
      </c>
    </row>
    <row r="36" ht="18" customHeight="1">
      <c r="A36" s="43" t="n">
        <v>15</v>
      </c>
      <c r="B36" s="5" t="n"/>
      <c r="C36" s="5" t="n"/>
      <c r="D36" s="44" t="n"/>
      <c r="E36" s="23" t="n"/>
      <c r="F36" s="23" t="n"/>
      <c r="G36" s="23" t="n"/>
      <c r="H36" s="23" t="n"/>
      <c r="I36" s="61">
        <f>IF(OR(E36="",H36=""),"",IFERROR(H36-MIN(E36,F36),0))</f>
        <v/>
      </c>
      <c r="J36" s="50">
        <f>IF(I36="""","""",IF(I36&lt;=PARAMETERS!$C$13/PARAMETERS!$C$17,6,IF(I36&lt;=PARAMETERS!$C$14/PARAMETERS!$C$17,10,IF(I36&lt;=PARAMETERS!$C$15/PARAMETERS!$C$17,16,20))))</f>
        <v/>
      </c>
      <c r="K36" s="50">
        <f>IF(J36="""","""",IF(J36=6,"PN - 6",IF(J36=10,"PN - 10",IF(J36=16,"PN - 16","PN - 20"))))</f>
        <v/>
      </c>
      <c r="L36" s="61">
        <f>IF(G36&lt;=0,"""",IFERROR(MAX(1000*((10.67*(G36/1000)^1.852)/(PARAMETERS!$C$5^1.852*($B$16/1000)))^(1/4.87),1000*SQRT(4*(G36/1000)/(PI()*PARAMETERS!$C$9))),0))</f>
        <v/>
      </c>
      <c r="M36" s="49">
        <f>IF(OR(G36&lt;=0,L36=""""),"""",IFERROR(AGGREGATE(15,6,PIPE_DB!$B$4:$B$77/((PIPE_DB!$E$4:$E$77&gt;=L36)*(PIPE_DB!$D$4:$D$77=J36)),1),"SIZE N/A"))</f>
        <v/>
      </c>
      <c r="N36" s="45">
        <f>IF(OR(M36="""",M36="SIZE N/A",NOT(ISNUMBER(M36))),"""",IFERROR(SUMPRODUCT((PIPE_DB!$B$4:$B$77=M36)*(PIPE_DB!$D$4:$D$77=J36)*PIPE_DB!$E$4:$E$77),0))</f>
        <v/>
      </c>
      <c r="O36" s="51">
        <f>IF(OR(G36&lt;=0,N36="""",NOT(ISNUMBER(N36))),"""",IFERROR(4*(G36/1000)/(PI()*(N36/1000)^2),0))</f>
        <v/>
      </c>
      <c r="P36" s="51">
        <f>IF(OR(G36&lt;=0,N36="""",NOT(ISNUMBER(N36))),"""",IFERROR(10.67*D36*(G36/1000)^1.852/(PARAMETERS!$C$5^1.852*(N36/1000)^4.87),0))</f>
        <v/>
      </c>
      <c r="Q36" s="51">
        <f>IF(P36="""","""",IFERROR(PARAMETERS!$C$10*P36,0))</f>
        <v/>
      </c>
      <c r="R36" s="51">
        <f>IF(P36="""","""",IFERROR(P36+Q36,0))</f>
        <v/>
      </c>
      <c r="S36" s="10">
        <f>IF(OR(H36="""",R36=""""),"""",IFERROR(H36-R36,0))</f>
        <v/>
      </c>
      <c r="T36" s="45">
        <f>IF(S36="""","""",IFERROR(S36-F36,0))</f>
        <v/>
      </c>
      <c r="U36" s="50">
        <f>IF(M36="""","""",IF(M36="SIZE N/A","⚠ SIZE N/A",IF(O36="""","""",IF(AND(O36&gt;=PARAMETERS!$C$8,O36&lt;=PARAMETERS!$C$9,T36&gt;=PARAMETERS!$C$20),"✓ OK",IF(O36&lt;PARAMETERS!$C$8,"⚠ LOW VELOCITY",IF(O36&gt;PARAMETERS!$C$9,"⚠ HIGH VELOCITY","⚠ LOW PRESSURE"))))))</f>
        <v/>
      </c>
    </row>
    <row r="37" ht="18" customHeight="1">
      <c r="A37" s="43" t="n">
        <v>16</v>
      </c>
      <c r="B37" s="5" t="n"/>
      <c r="C37" s="5" t="n"/>
      <c r="D37" s="44" t="n"/>
      <c r="E37" s="23" t="n"/>
      <c r="F37" s="23" t="n"/>
      <c r="G37" s="23" t="n"/>
      <c r="H37" s="23" t="n"/>
      <c r="I37" s="61">
        <f>IF(OR(E37="",H37=""),"",IFERROR(H37-MIN(E37,F37),0))</f>
        <v/>
      </c>
      <c r="J37" s="50">
        <f>IF(I37="""","""",IF(I37&lt;=PARAMETERS!$C$13/PARAMETERS!$C$17,6,IF(I37&lt;=PARAMETERS!$C$14/PARAMETERS!$C$17,10,IF(I37&lt;=PARAMETERS!$C$15/PARAMETERS!$C$17,16,20))))</f>
        <v/>
      </c>
      <c r="K37" s="50">
        <f>IF(J37="""","""",IF(J37=6,"PN - 6",IF(J37=10,"PN - 10",IF(J37=16,"PN - 16","PN - 20"))))</f>
        <v/>
      </c>
      <c r="L37" s="61">
        <f>IF(G37&lt;=0,"""",IFERROR(MAX(1000*((10.67*(G37/1000)^1.852)/(PARAMETERS!$C$5^1.852*($B$16/1000)))^(1/4.87),1000*SQRT(4*(G37/1000)/(PI()*PARAMETERS!$C$9))),0))</f>
        <v/>
      </c>
      <c r="M37" s="49">
        <f>IF(OR(G37&lt;=0,L37=""""),"""",IFERROR(AGGREGATE(15,6,PIPE_DB!$B$4:$B$77/((PIPE_DB!$E$4:$E$77&gt;=L37)*(PIPE_DB!$D$4:$D$77=J37)),1),"SIZE N/A"))</f>
        <v/>
      </c>
      <c r="N37" s="45">
        <f>IF(OR(M37="""",M37="SIZE N/A",NOT(ISNUMBER(M37))),"""",IFERROR(SUMPRODUCT((PIPE_DB!$B$4:$B$77=M37)*(PIPE_DB!$D$4:$D$77=J37)*PIPE_DB!$E$4:$E$77),0))</f>
        <v/>
      </c>
      <c r="O37" s="51">
        <f>IF(OR(G37&lt;=0,N37="""",NOT(ISNUMBER(N37))),"""",IFERROR(4*(G37/1000)/(PI()*(N37/1000)^2),0))</f>
        <v/>
      </c>
      <c r="P37" s="51">
        <f>IF(OR(G37&lt;=0,N37="""",NOT(ISNUMBER(N37))),"""",IFERROR(10.67*D37*(G37/1000)^1.852/(PARAMETERS!$C$5^1.852*(N37/1000)^4.87),0))</f>
        <v/>
      </c>
      <c r="Q37" s="51">
        <f>IF(P37="""","""",IFERROR(PARAMETERS!$C$10*P37,0))</f>
        <v/>
      </c>
      <c r="R37" s="51">
        <f>IF(P37="""","""",IFERROR(P37+Q37,0))</f>
        <v/>
      </c>
      <c r="S37" s="10">
        <f>IF(OR(H37="""",R37=""""),"""",IFERROR(H37-R37,0))</f>
        <v/>
      </c>
      <c r="T37" s="45">
        <f>IF(S37="""","""",IFERROR(S37-F37,0))</f>
        <v/>
      </c>
      <c r="U37" s="50">
        <f>IF(M37="""","""",IF(M37="SIZE N/A","⚠ SIZE N/A",IF(O37="""","""",IF(AND(O37&gt;=PARAMETERS!$C$8,O37&lt;=PARAMETERS!$C$9,T37&gt;=PARAMETERS!$C$20),"✓ OK",IF(O37&lt;PARAMETERS!$C$8,"⚠ LOW VELOCITY",IF(O37&gt;PARAMETERS!$C$9,"⚠ HIGH VELOCITY","⚠ LOW PRESSURE"))))))</f>
        <v/>
      </c>
    </row>
    <row r="38" ht="18" customHeight="1">
      <c r="A38" s="43" t="n">
        <v>17</v>
      </c>
      <c r="B38" s="5" t="n"/>
      <c r="C38" s="5" t="n"/>
      <c r="D38" s="44" t="n"/>
      <c r="E38" s="23" t="n"/>
      <c r="F38" s="23" t="n"/>
      <c r="G38" s="23" t="n"/>
      <c r="H38" s="23" t="n"/>
      <c r="I38" s="61">
        <f>IF(OR(E38="",H38=""),"",IFERROR(H38-MIN(E38,F38),0))</f>
        <v/>
      </c>
      <c r="J38" s="50">
        <f>IF(I38="""","""",IF(I38&lt;=PARAMETERS!$C$13/PARAMETERS!$C$17,6,IF(I38&lt;=PARAMETERS!$C$14/PARAMETERS!$C$17,10,IF(I38&lt;=PARAMETERS!$C$15/PARAMETERS!$C$17,16,20))))</f>
        <v/>
      </c>
      <c r="K38" s="50">
        <f>IF(J38="""","""",IF(J38=6,"PN - 6",IF(J38=10,"PN - 10",IF(J38=16,"PN - 16","PN - 20"))))</f>
        <v/>
      </c>
      <c r="L38" s="61">
        <f>IF(G38&lt;=0,"""",IFERROR(MAX(1000*((10.67*(G38/1000)^1.852)/(PARAMETERS!$C$5^1.852*($B$16/1000)))^(1/4.87),1000*SQRT(4*(G38/1000)/(PI()*PARAMETERS!$C$9))),0))</f>
        <v/>
      </c>
      <c r="M38" s="49">
        <f>IF(OR(G38&lt;=0,L38=""""),"""",IFERROR(AGGREGATE(15,6,PIPE_DB!$B$4:$B$77/((PIPE_DB!$E$4:$E$77&gt;=L38)*(PIPE_DB!$D$4:$D$77=J38)),1),"SIZE N/A"))</f>
        <v/>
      </c>
      <c r="N38" s="45">
        <f>IF(OR(M38="""",M38="SIZE N/A",NOT(ISNUMBER(M38))),"""",IFERROR(SUMPRODUCT((PIPE_DB!$B$4:$B$77=M38)*(PIPE_DB!$D$4:$D$77=J38)*PIPE_DB!$E$4:$E$77),0))</f>
        <v/>
      </c>
      <c r="O38" s="51">
        <f>IF(OR(G38&lt;=0,N38="""",NOT(ISNUMBER(N38))),"""",IFERROR(4*(G38/1000)/(PI()*(N38/1000)^2),0))</f>
        <v/>
      </c>
      <c r="P38" s="51">
        <f>IF(OR(G38&lt;=0,N38="""",NOT(ISNUMBER(N38))),"""",IFERROR(10.67*D38*(G38/1000)^1.852/(PARAMETERS!$C$5^1.852*(N38/1000)^4.87),0))</f>
        <v/>
      </c>
      <c r="Q38" s="51">
        <f>IF(P38="""","""",IFERROR(PARAMETERS!$C$10*P38,0))</f>
        <v/>
      </c>
      <c r="R38" s="51">
        <f>IF(P38="""","""",IFERROR(P38+Q38,0))</f>
        <v/>
      </c>
      <c r="S38" s="10">
        <f>IF(OR(H38="""",R38=""""),"""",IFERROR(H38-R38,0))</f>
        <v/>
      </c>
      <c r="T38" s="45">
        <f>IF(S38="""","""",IFERROR(S38-F38,0))</f>
        <v/>
      </c>
      <c r="U38" s="50">
        <f>IF(M38="""","""",IF(M38="SIZE N/A","⚠ SIZE N/A",IF(O38="""","""",IF(AND(O38&gt;=PARAMETERS!$C$8,O38&lt;=PARAMETERS!$C$9,T38&gt;=PARAMETERS!$C$20),"✓ OK",IF(O38&lt;PARAMETERS!$C$8,"⚠ LOW VELOCITY",IF(O38&gt;PARAMETERS!$C$9,"⚠ HIGH VELOCITY","⚠ LOW PRESSURE"))))))</f>
        <v/>
      </c>
    </row>
    <row r="39" ht="18" customHeight="1">
      <c r="A39" s="43" t="n">
        <v>18</v>
      </c>
      <c r="B39" s="5" t="n"/>
      <c r="C39" s="5" t="n"/>
      <c r="D39" s="44" t="n"/>
      <c r="E39" s="23" t="n"/>
      <c r="F39" s="23" t="n"/>
      <c r="G39" s="23" t="n"/>
      <c r="H39" s="23" t="n"/>
      <c r="I39" s="61">
        <f>IF(OR(E39="",H39=""),"",IFERROR(H39-MIN(E39,F39),0))</f>
        <v/>
      </c>
      <c r="J39" s="50">
        <f>IF(I39="""","""",IF(I39&lt;=PARAMETERS!$C$13/PARAMETERS!$C$17,6,IF(I39&lt;=PARAMETERS!$C$14/PARAMETERS!$C$17,10,IF(I39&lt;=PARAMETERS!$C$15/PARAMETERS!$C$17,16,20))))</f>
        <v/>
      </c>
      <c r="K39" s="50">
        <f>IF(J39="""","""",IF(J39=6,"PN - 6",IF(J39=10,"PN - 10",IF(J39=16,"PN - 16","PN - 20"))))</f>
        <v/>
      </c>
      <c r="L39" s="61">
        <f>IF(G39&lt;=0,"""",IFERROR(MAX(1000*((10.67*(G39/1000)^1.852)/(PARAMETERS!$C$5^1.852*($B$16/1000)))^(1/4.87),1000*SQRT(4*(G39/1000)/(PI()*PARAMETERS!$C$9))),0))</f>
        <v/>
      </c>
      <c r="M39" s="49">
        <f>IF(OR(G39&lt;=0,L39=""""),"""",IFERROR(AGGREGATE(15,6,PIPE_DB!$B$4:$B$77/((PIPE_DB!$E$4:$E$77&gt;=L39)*(PIPE_DB!$D$4:$D$77=J39)),1),"SIZE N/A"))</f>
        <v/>
      </c>
      <c r="N39" s="45">
        <f>IF(OR(M39="""",M39="SIZE N/A",NOT(ISNUMBER(M39))),"""",IFERROR(SUMPRODUCT((PIPE_DB!$B$4:$B$77=M39)*(PIPE_DB!$D$4:$D$77=J39)*PIPE_DB!$E$4:$E$77),0))</f>
        <v/>
      </c>
      <c r="O39" s="51">
        <f>IF(OR(G39&lt;=0,N39="""",NOT(ISNUMBER(N39))),"""",IFERROR(4*(G39/1000)/(PI()*(N39/1000)^2),0))</f>
        <v/>
      </c>
      <c r="P39" s="51">
        <f>IF(OR(G39&lt;=0,N39="""",NOT(ISNUMBER(N39))),"""",IFERROR(10.67*D39*(G39/1000)^1.852/(PARAMETERS!$C$5^1.852*(N39/1000)^4.87),0))</f>
        <v/>
      </c>
      <c r="Q39" s="51">
        <f>IF(P39="""","""",IFERROR(PARAMETERS!$C$10*P39,0))</f>
        <v/>
      </c>
      <c r="R39" s="51">
        <f>IF(P39="""","""",IFERROR(P39+Q39,0))</f>
        <v/>
      </c>
      <c r="S39" s="10">
        <f>IF(OR(H39="""",R39=""""),"""",IFERROR(H39-R39,0))</f>
        <v/>
      </c>
      <c r="T39" s="45">
        <f>IF(S39="""","""",IFERROR(S39-F39,0))</f>
        <v/>
      </c>
      <c r="U39" s="50">
        <f>IF(M39="""","""",IF(M39="SIZE N/A","⚠ SIZE N/A",IF(O39="""","""",IF(AND(O39&gt;=PARAMETERS!$C$8,O39&lt;=PARAMETERS!$C$9,T39&gt;=PARAMETERS!$C$20),"✓ OK",IF(O39&lt;PARAMETERS!$C$8,"⚠ LOW VELOCITY",IF(O39&gt;PARAMETERS!$C$9,"⚠ HIGH VELOCITY","⚠ LOW PRESSURE"))))))</f>
        <v/>
      </c>
    </row>
    <row r="40" ht="18" customHeight="1">
      <c r="A40" s="43" t="n">
        <v>19</v>
      </c>
      <c r="B40" s="5" t="n"/>
      <c r="C40" s="5" t="n"/>
      <c r="D40" s="44" t="n"/>
      <c r="E40" s="23" t="n"/>
      <c r="F40" s="23" t="n"/>
      <c r="G40" s="23" t="n"/>
      <c r="H40" s="23" t="n"/>
      <c r="I40" s="61">
        <f>IF(OR(E40="",H40=""),"",IFERROR(H40-MIN(E40,F40),0))</f>
        <v/>
      </c>
      <c r="J40" s="50">
        <f>IF(I40="""","""",IF(I40&lt;=PARAMETERS!$C$13/PARAMETERS!$C$17,6,IF(I40&lt;=PARAMETERS!$C$14/PARAMETERS!$C$17,10,IF(I40&lt;=PARAMETERS!$C$15/PARAMETERS!$C$17,16,20))))</f>
        <v/>
      </c>
      <c r="K40" s="50">
        <f>IF(J40="""","""",IF(J40=6,"PN - 6",IF(J40=10,"PN - 10",IF(J40=16,"PN - 16","PN - 20"))))</f>
        <v/>
      </c>
      <c r="L40" s="61">
        <f>IF(G40&lt;=0,"""",IFERROR(MAX(1000*((10.67*(G40/1000)^1.852)/(PARAMETERS!$C$5^1.852*($B$16/1000)))^(1/4.87),1000*SQRT(4*(G40/1000)/(PI()*PARAMETERS!$C$9))),0))</f>
        <v/>
      </c>
      <c r="M40" s="49">
        <f>IF(OR(G40&lt;=0,L40=""""),"""",IFERROR(AGGREGATE(15,6,PIPE_DB!$B$4:$B$77/((PIPE_DB!$E$4:$E$77&gt;=L40)*(PIPE_DB!$D$4:$D$77=J40)),1),"SIZE N/A"))</f>
        <v/>
      </c>
      <c r="N40" s="45">
        <f>IF(OR(M40="""",M40="SIZE N/A",NOT(ISNUMBER(M40))),"""",IFERROR(SUMPRODUCT((PIPE_DB!$B$4:$B$77=M40)*(PIPE_DB!$D$4:$D$77=J40)*PIPE_DB!$E$4:$E$77),0))</f>
        <v/>
      </c>
      <c r="O40" s="51">
        <f>IF(OR(G40&lt;=0,N40="""",NOT(ISNUMBER(N40))),"""",IFERROR(4*(G40/1000)/(PI()*(N40/1000)^2),0))</f>
        <v/>
      </c>
      <c r="P40" s="51">
        <f>IF(OR(G40&lt;=0,N40="""",NOT(ISNUMBER(N40))),"""",IFERROR(10.67*D40*(G40/1000)^1.852/(PARAMETERS!$C$5^1.852*(N40/1000)^4.87),0))</f>
        <v/>
      </c>
      <c r="Q40" s="51">
        <f>IF(P40="""","""",IFERROR(PARAMETERS!$C$10*P40,0))</f>
        <v/>
      </c>
      <c r="R40" s="51">
        <f>IF(P40="""","""",IFERROR(P40+Q40,0))</f>
        <v/>
      </c>
      <c r="S40" s="10">
        <f>IF(OR(H40="""",R40=""""),"""",IFERROR(H40-R40,0))</f>
        <v/>
      </c>
      <c r="T40" s="45">
        <f>IF(S40="""","""",IFERROR(S40-F40,0))</f>
        <v/>
      </c>
      <c r="U40" s="50">
        <f>IF(M40="""","""",IF(M40="SIZE N/A","⚠ SIZE N/A",IF(O40="""","""",IF(AND(O40&gt;=PARAMETERS!$C$8,O40&lt;=PARAMETERS!$C$9,T40&gt;=PARAMETERS!$C$20),"✓ OK",IF(O40&lt;PARAMETERS!$C$8,"⚠ LOW VELOCITY",IF(O40&gt;PARAMETERS!$C$9,"⚠ HIGH VELOCITY","⚠ LOW PRESSURE"))))))</f>
        <v/>
      </c>
    </row>
    <row r="41" ht="18" customHeight="1">
      <c r="A41" s="43" t="n">
        <v>20</v>
      </c>
      <c r="B41" s="5" t="n"/>
      <c r="C41" s="5" t="n"/>
      <c r="D41" s="44" t="n"/>
      <c r="E41" s="23" t="n"/>
      <c r="F41" s="23" t="n"/>
      <c r="G41" s="23" t="n"/>
      <c r="H41" s="23" t="n"/>
      <c r="I41" s="61">
        <f>IF(OR(E41="",H41=""),"",IFERROR(H41-MIN(E41,F41),0))</f>
        <v/>
      </c>
      <c r="J41" s="50">
        <f>IF(I41="""","""",IF(I41&lt;=PARAMETERS!$C$13/PARAMETERS!$C$17,6,IF(I41&lt;=PARAMETERS!$C$14/PARAMETERS!$C$17,10,IF(I41&lt;=PARAMETERS!$C$15/PARAMETERS!$C$17,16,20))))</f>
        <v/>
      </c>
      <c r="K41" s="50">
        <f>IF(J41="""","""",IF(J41=6,"PN - 6",IF(J41=10,"PN - 10",IF(J41=16,"PN - 16","PN - 20"))))</f>
        <v/>
      </c>
      <c r="L41" s="61">
        <f>IF(G41&lt;=0,"""",IFERROR(MAX(1000*((10.67*(G41/1000)^1.852)/(PARAMETERS!$C$5^1.852*($B$16/1000)))^(1/4.87),1000*SQRT(4*(G41/1000)/(PI()*PARAMETERS!$C$9))),0))</f>
        <v/>
      </c>
      <c r="M41" s="49">
        <f>IF(OR(G41&lt;=0,L41=""""),"""",IFERROR(AGGREGATE(15,6,PIPE_DB!$B$4:$B$77/((PIPE_DB!$E$4:$E$77&gt;=L41)*(PIPE_DB!$D$4:$D$77=J41)),1),"SIZE N/A"))</f>
        <v/>
      </c>
      <c r="N41" s="45">
        <f>IF(OR(M41="""",M41="SIZE N/A",NOT(ISNUMBER(M41))),"""",IFERROR(SUMPRODUCT((PIPE_DB!$B$4:$B$77=M41)*(PIPE_DB!$D$4:$D$77=J41)*PIPE_DB!$E$4:$E$77),0))</f>
        <v/>
      </c>
      <c r="O41" s="51">
        <f>IF(OR(G41&lt;=0,N41="""",NOT(ISNUMBER(N41))),"""",IFERROR(4*(G41/1000)/(PI()*(N41/1000)^2),0))</f>
        <v/>
      </c>
      <c r="P41" s="51">
        <f>IF(OR(G41&lt;=0,N41="""",NOT(ISNUMBER(N41))),"""",IFERROR(10.67*D41*(G41/1000)^1.852/(PARAMETERS!$C$5^1.852*(N41/1000)^4.87),0))</f>
        <v/>
      </c>
      <c r="Q41" s="51">
        <f>IF(P41="""","""",IFERROR(PARAMETERS!$C$10*P41,0))</f>
        <v/>
      </c>
      <c r="R41" s="51">
        <f>IF(P41="""","""",IFERROR(P41+Q41,0))</f>
        <v/>
      </c>
      <c r="S41" s="10">
        <f>IF(OR(H41="""",R41=""""),"""",IFERROR(H41-R41,0))</f>
        <v/>
      </c>
      <c r="T41" s="45">
        <f>IF(S41="""","""",IFERROR(S41-F41,0))</f>
        <v/>
      </c>
      <c r="U41" s="50">
        <f>IF(M41="""","""",IF(M41="SIZE N/A","⚠ SIZE N/A",IF(O41="""","""",IF(AND(O41&gt;=PARAMETERS!$C$8,O41&lt;=PARAMETERS!$C$9,T41&gt;=PARAMETERS!$C$20),"✓ OK",IF(O41&lt;PARAMETERS!$C$8,"⚠ LOW VELOCITY",IF(O41&gt;PARAMETERS!$C$9,"⚠ HIGH VELOCITY","⚠ LOW PRESSURE"))))))</f>
        <v/>
      </c>
    </row>
    <row r="42" ht="20" customHeight="1">
      <c r="A42" s="52" t="inlineStr">
        <is>
          <t>TOTALS</t>
        </is>
      </c>
      <c r="B42" s="53" t="n"/>
      <c r="C42" s="53" t="n"/>
      <c r="D42" s="54">
        <f>IFERROR(SUM(D22:D41),0)</f>
        <v/>
      </c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>
        <f>IFERROR(SUM(P22:P41),0)</f>
        <v/>
      </c>
      <c r="Q42" s="54">
        <f>IFERROR(SUM(Q22:Q41),0)</f>
        <v/>
      </c>
      <c r="R42" s="54">
        <f>IFERROR(SUM(R22:R41),0)</f>
        <v/>
      </c>
      <c r="S42" s="53" t="n"/>
      <c r="T42" s="53" t="n"/>
      <c r="U42" s="53" t="n"/>
    </row>
    <row r="43" ht="8" customHeight="1"/>
    <row r="44" ht="18" customHeight="1">
      <c r="A44" s="3" t="inlineStr">
        <is>
          <t>SECTION 2 — NODE PRESSURE CHECK SUMMARY</t>
        </is>
      </c>
    </row>
    <row r="45" ht="30" customHeight="1">
      <c r="A45" s="42" t="inlineStr">
        <is>
          <t>Enter node names and ground elevations. In 'HGL at Node' column, type the Excel reference to the corresponding HGL End (col S) from the pipe branch table above — e.g. =S22 for the first branch end node.</t>
        </is>
      </c>
    </row>
    <row r="46" ht="30" customHeight="1">
      <c r="A46" s="8" t="inlineStr">
        <is>
          <t>#</t>
        </is>
      </c>
      <c r="B46" s="8" t="inlineStr">
        <is>
          <t>Node Name</t>
        </is>
      </c>
      <c r="C46" s="8" t="inlineStr">
        <is>
          <t>Ground Elev
(m ASL)</t>
        </is>
      </c>
      <c r="D46" s="8" t="inlineStr">
        <is>
          <t>HGL at Node
(m ASL)  [INPUT]</t>
        </is>
      </c>
      <c r="E46" s="8" t="inlineStr">
        <is>
          <t>Pressure Head
(m)</t>
        </is>
      </c>
      <c r="F46" s="8" t="inlineStr">
        <is>
          <t>Min Required
(m)</t>
        </is>
      </c>
      <c r="G46" s="8" t="inlineStr">
        <is>
          <t>Status</t>
        </is>
      </c>
    </row>
    <row r="47" ht="18" customHeight="1">
      <c r="A47" s="43" t="n">
        <v>1</v>
      </c>
      <c r="B47" s="5" t="n"/>
      <c r="C47" s="23" t="n"/>
      <c r="D47" s="23" t="n"/>
      <c r="E47" s="45">
        <f>IF(OR(C47="",D47=""),"",D47-C47)</f>
        <v/>
      </c>
      <c r="F47" s="39">
        <f>PARAMETERS!$C$20</f>
        <v/>
      </c>
      <c r="G47" s="50">
        <f>IF(E47="","",IF(E47&gt;=PARAMETERS!$C$20,"✓ OK","⚠ LOW PRESSURE"))</f>
        <v/>
      </c>
    </row>
    <row r="48" ht="18" customHeight="1">
      <c r="A48" s="43" t="n">
        <v>2</v>
      </c>
      <c r="B48" s="5" t="n"/>
      <c r="C48" s="23" t="n"/>
      <c r="D48" s="23" t="n"/>
      <c r="E48" s="45">
        <f>IF(OR(C48="",D48=""),"",D48-C48)</f>
        <v/>
      </c>
      <c r="F48" s="39">
        <f>PARAMETERS!$C$20</f>
        <v/>
      </c>
      <c r="G48" s="50">
        <f>IF(E48="","",IF(E48&gt;=PARAMETERS!$C$20,"✓ OK","⚠ LOW PRESSURE"))</f>
        <v/>
      </c>
    </row>
    <row r="49" ht="18" customHeight="1">
      <c r="A49" s="43" t="n">
        <v>3</v>
      </c>
      <c r="B49" s="5" t="n"/>
      <c r="C49" s="23" t="n"/>
      <c r="D49" s="23" t="n"/>
      <c r="E49" s="45">
        <f>IF(OR(C49="",D49=""),"",D49-C49)</f>
        <v/>
      </c>
      <c r="F49" s="39">
        <f>PARAMETERS!$C$20</f>
        <v/>
      </c>
      <c r="G49" s="50">
        <f>IF(E49="","",IF(E49&gt;=PARAMETERS!$C$20,"✓ OK","⚠ LOW PRESSURE"))</f>
        <v/>
      </c>
    </row>
    <row r="50" ht="18" customHeight="1">
      <c r="A50" s="43" t="n">
        <v>4</v>
      </c>
      <c r="B50" s="5" t="n"/>
      <c r="C50" s="23" t="n"/>
      <c r="D50" s="23" t="n"/>
      <c r="E50" s="45">
        <f>IF(OR(C50="",D50=""),"",D50-C50)</f>
        <v/>
      </c>
      <c r="F50" s="39">
        <f>PARAMETERS!$C$20</f>
        <v/>
      </c>
      <c r="G50" s="50">
        <f>IF(E50="","",IF(E50&gt;=PARAMETERS!$C$20,"✓ OK","⚠ LOW PRESSURE"))</f>
        <v/>
      </c>
    </row>
    <row r="51" ht="18" customHeight="1">
      <c r="A51" s="43" t="n">
        <v>5</v>
      </c>
      <c r="B51" s="5" t="n"/>
      <c r="C51" s="23" t="n"/>
      <c r="D51" s="23" t="n"/>
      <c r="E51" s="45">
        <f>IF(OR(C51="",D51=""),"",D51-C51)</f>
        <v/>
      </c>
      <c r="F51" s="39">
        <f>PARAMETERS!$C$20</f>
        <v/>
      </c>
      <c r="G51" s="50">
        <f>IF(E51="","",IF(E51&gt;=PARAMETERS!$C$20,"✓ OK","⚠ LOW PRESSURE"))</f>
        <v/>
      </c>
    </row>
    <row r="52" ht="18" customHeight="1">
      <c r="A52" s="43" t="n">
        <v>6</v>
      </c>
      <c r="B52" s="5" t="n"/>
      <c r="C52" s="23" t="n"/>
      <c r="D52" s="23" t="n"/>
      <c r="E52" s="45">
        <f>IF(OR(C52="",D52=""),"",D52-C52)</f>
        <v/>
      </c>
      <c r="F52" s="39">
        <f>PARAMETERS!$C$20</f>
        <v/>
      </c>
      <c r="G52" s="50">
        <f>IF(E52="","",IF(E52&gt;=PARAMETERS!$C$20,"✓ OK","⚠ LOW PRESSURE"))</f>
        <v/>
      </c>
    </row>
    <row r="53" ht="18" customHeight="1">
      <c r="A53" s="43" t="n">
        <v>7</v>
      </c>
      <c r="B53" s="5" t="n"/>
      <c r="C53" s="23" t="n"/>
      <c r="D53" s="23" t="n"/>
      <c r="E53" s="45">
        <f>IF(OR(C53="",D53=""),"",D53-C53)</f>
        <v/>
      </c>
      <c r="F53" s="39">
        <f>PARAMETERS!$C$20</f>
        <v/>
      </c>
      <c r="G53" s="50">
        <f>IF(E53="","",IF(E53&gt;=PARAMETERS!$C$20,"✓ OK","⚠ LOW PRESSURE"))</f>
        <v/>
      </c>
    </row>
    <row r="54" ht="18" customHeight="1">
      <c r="A54" s="43" t="n">
        <v>8</v>
      </c>
      <c r="B54" s="5" t="n"/>
      <c r="C54" s="23" t="n"/>
      <c r="D54" s="23" t="n"/>
      <c r="E54" s="45">
        <f>IF(OR(C54="",D54=""),"",D54-C54)</f>
        <v/>
      </c>
      <c r="F54" s="39">
        <f>PARAMETERS!$C$20</f>
        <v/>
      </c>
      <c r="G54" s="50">
        <f>IF(E54="","",IF(E54&gt;=PARAMETERS!$C$20,"✓ OK","⚠ LOW PRESSURE"))</f>
        <v/>
      </c>
    </row>
    <row r="55" ht="18" customHeight="1">
      <c r="A55" s="43" t="n">
        <v>9</v>
      </c>
      <c r="B55" s="5" t="n"/>
      <c r="C55" s="23" t="n"/>
      <c r="D55" s="23" t="n"/>
      <c r="E55" s="45">
        <f>IF(OR(C55="",D55=""),"",D55-C55)</f>
        <v/>
      </c>
      <c r="F55" s="39">
        <f>PARAMETERS!$C$20</f>
        <v/>
      </c>
      <c r="G55" s="50">
        <f>IF(E55="","",IF(E55&gt;=PARAMETERS!$C$20,"✓ OK","⚠ LOW PRESSURE"))</f>
        <v/>
      </c>
    </row>
    <row r="56" ht="18" customHeight="1">
      <c r="A56" s="43" t="n">
        <v>10</v>
      </c>
      <c r="B56" s="5" t="n"/>
      <c r="C56" s="23" t="n"/>
      <c r="D56" s="23" t="n"/>
      <c r="E56" s="45">
        <f>IF(OR(C56="",D56=""),"",D56-C56)</f>
        <v/>
      </c>
      <c r="F56" s="39">
        <f>PARAMETERS!$C$20</f>
        <v/>
      </c>
      <c r="G56" s="50">
        <f>IF(E56="","",IF(E56&gt;=PARAMETERS!$C$20,"✓ OK","⚠ LOW PRESSURE"))</f>
        <v/>
      </c>
    </row>
  </sheetData>
  <mergeCells count="19">
    <mergeCell ref="D10:K10"/>
    <mergeCell ref="A19:D19"/>
    <mergeCell ref="A18:U18"/>
    <mergeCell ref="A42:C42"/>
    <mergeCell ref="A2:U2"/>
    <mergeCell ref="D6:K6"/>
    <mergeCell ref="D11:K11"/>
    <mergeCell ref="D13:K13"/>
    <mergeCell ref="D7:K7"/>
    <mergeCell ref="D16:K16"/>
    <mergeCell ref="A44:U44"/>
    <mergeCell ref="D12:K12"/>
    <mergeCell ref="D9:K9"/>
    <mergeCell ref="A4:K4"/>
    <mergeCell ref="D8:K8"/>
    <mergeCell ref="D15:K15"/>
    <mergeCell ref="A45:U45"/>
    <mergeCell ref="D14:K14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2026-05-02T07:06:49Z</dcterms:created>
  <dcterms:modified xmlns:dcterms="http://purl.org/dc/terms/" xmlns:xsi="http://www.w3.org/2001/XMLSchema-instance" xsi:type="dcterms:W3CDTF">2026-05-02T07:06:49Z</dcterms:modified>
</cp:coreProperties>
</file>